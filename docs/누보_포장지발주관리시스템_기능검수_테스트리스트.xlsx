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테스트계정" sheetId="2" state="visible" r:id="rId2"/>
    <sheet name="공통" sheetId="3" state="visible" r:id="rId3"/>
    <sheet name="요청자" sheetId="4" state="visible" r:id="rId4"/>
    <sheet name="브랜드기획팀" sheetId="5" state="visible" r:id="rId5"/>
    <sheet name="디자인팀" sheetId="6" state="visible" r:id="rId6"/>
    <sheet name="연구소" sheetId="7" state="visible" r:id="rId7"/>
    <sheet name="관리자" sheetId="8" state="visible" r:id="rId8"/>
    <sheet name="통합시나리오" sheetId="9" state="visible" r:id="rId9"/>
    <sheet name="결함기록" sheetId="10" state="visible" r:id="rId10"/>
    <sheet name="진행현황" sheetId="11" state="visible" r:id="rId11"/>
  </sheets>
  <definedNames>
    <definedName name="_xlnm._FilterDatabase" localSheetId="2" hidden="1">'공통'!$A$1:$I$21</definedName>
    <definedName name="_xlnm._FilterDatabase" localSheetId="3" hidden="1">'요청자'!$A$1:$I$13</definedName>
    <definedName name="_xlnm._FilterDatabase" localSheetId="4" hidden="1">'브랜드기획팀'!$A$1:$I$23</definedName>
    <definedName name="_xlnm._FilterDatabase" localSheetId="5" hidden="1">'디자인팀'!$A$1:$I$12</definedName>
    <definedName name="_xlnm._FilterDatabase" localSheetId="6" hidden="1">'연구소'!$A$1:$I$12</definedName>
    <definedName name="_xlnm._FilterDatabase" localSheetId="7" hidden="1">'관리자'!$A$1:$I$8</definedName>
    <definedName name="_xlnm._FilterDatabase" localSheetId="8" hidden="1">'통합시나리오'!$A$1:$I$8</definedName>
    <definedName name="_xlnm._FilterDatabase" localSheetId="9" hidden="1">'결함기록'!$A$1:$J$41</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1">
    <font>
      <name val="Calibri"/>
      <family val="2"/>
      <color theme="1"/>
      <sz val="11"/>
      <scheme val="minor"/>
    </font>
    <font>
      <name val="Malgun Gothic"/>
      <b val="1"/>
      <color rgb="003D5C4A"/>
      <sz val="15"/>
    </font>
    <font>
      <name val="Malgun Gothic"/>
      <color rgb="00576155"/>
      <sz val="10"/>
    </font>
    <font>
      <name val="Malgun Gothic"/>
      <color rgb="001F2A22"/>
      <sz val="10"/>
    </font>
    <font>
      <name val="Malgun Gothic"/>
      <b val="1"/>
      <color rgb="001F2A22"/>
      <sz val="11"/>
    </font>
    <font>
      <name val="Malgun Gothic"/>
      <b val="1"/>
      <color rgb="00FFFFFF"/>
      <sz val="10"/>
    </font>
    <font>
      <name val="Malgun Gothic"/>
      <i val="1"/>
      <color rgb="00A53E2B"/>
      <sz val="9"/>
    </font>
    <font>
      <name val="Malgun Gothic"/>
      <color rgb="001F2A22"/>
      <sz val="9.5"/>
    </font>
    <font>
      <name val="Malgun Gothic"/>
      <i val="1"/>
      <color rgb="00576155"/>
      <sz val="9"/>
    </font>
    <font>
      <name val="Malgun Gothic"/>
      <i val="1"/>
      <color rgb="008A9488"/>
      <sz val="9.5"/>
    </font>
    <font>
      <name val="Malgun Gothic"/>
      <b val="1"/>
      <color rgb="001F2A22"/>
      <sz val="10"/>
    </font>
  </fonts>
  <fills count="6">
    <fill>
      <patternFill/>
    </fill>
    <fill>
      <patternFill patternType="gray125"/>
    </fill>
    <fill>
      <patternFill patternType="solid">
        <fgColor rgb="00E2EADD"/>
      </patternFill>
    </fill>
    <fill>
      <patternFill patternType="solid">
        <fgColor rgb="003D5C4A"/>
      </patternFill>
    </fill>
    <fill>
      <patternFill patternType="solid">
        <fgColor rgb="00F7F8F4"/>
      </patternFill>
    </fill>
    <fill>
      <patternFill patternType="solid">
        <fgColor rgb="00FFF9DB"/>
      </patternFill>
    </fill>
  </fills>
  <borders count="2">
    <border>
      <left/>
      <right/>
      <top/>
      <bottom/>
      <diagonal/>
    </border>
    <border>
      <left style="thin">
        <color rgb="00D7DDCD"/>
      </left>
      <right style="thin">
        <color rgb="00D7DDCD"/>
      </right>
      <top style="thin">
        <color rgb="00D7DDCD"/>
      </top>
      <bottom style="thin">
        <color rgb="00D7DDCD"/>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horizontal="center" vertical="center" wrapText="1"/>
    </xf>
    <xf numFmtId="0" fontId="3" fillId="4" borderId="1" applyAlignment="1" pivotButton="0" quotePrefix="0" xfId="0">
      <alignment horizontal="left" vertical="center"/>
    </xf>
    <xf numFmtId="0" fontId="3" fillId="0" borderId="1" applyAlignment="1" pivotButton="0" quotePrefix="0" xfId="0">
      <alignment horizontal="left" vertical="center"/>
    </xf>
    <xf numFmtId="0" fontId="6" fillId="0" borderId="0" pivotButton="0" quotePrefix="0" xfId="0"/>
    <xf numFmtId="0" fontId="7" fillId="4" borderId="1" applyAlignment="1" pivotButton="0" quotePrefix="0" xfId="0">
      <alignment horizontal="center" vertical="top" wrapText="1"/>
    </xf>
    <xf numFmtId="0" fontId="7" fillId="4" borderId="1" applyAlignment="1" pivotButton="0" quotePrefix="0" xfId="0">
      <alignment horizontal="left" vertical="top" wrapText="1"/>
    </xf>
    <xf numFmtId="0" fontId="7" fillId="5" borderId="1" applyAlignment="1" pivotButton="0" quotePrefix="0" xfId="0">
      <alignment horizontal="center" vertical="top" wrapText="1"/>
    </xf>
    <xf numFmtId="0" fontId="7" fillId="5" borderId="1" applyAlignment="1" pivotButton="0" quotePrefix="0" xfId="0">
      <alignment horizontal="left" vertical="top" wrapText="1"/>
    </xf>
    <xf numFmtId="164" fontId="7" fillId="5"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8" fillId="0" borderId="0" applyAlignment="1" pivotButton="0" quotePrefix="0" xfId="0">
      <alignment vertical="top" wrapText="1"/>
    </xf>
    <xf numFmtId="0" fontId="9" fillId="0" borderId="1" applyAlignment="1" pivotButton="0" quotePrefix="0" xfId="0">
      <alignment horizontal="center" vertical="top" wrapText="1"/>
    </xf>
    <xf numFmtId="164" fontId="9" fillId="0" borderId="1" applyAlignment="1" pivotButton="0" quotePrefix="0" xfId="0">
      <alignment horizontal="center" vertical="top" wrapText="1"/>
    </xf>
    <xf numFmtId="0" fontId="9" fillId="0" borderId="1" applyAlignment="1" pivotButton="0" quotePrefix="0" xfId="0">
      <alignment horizontal="left" vertical="top" wrapText="1"/>
    </xf>
    <xf numFmtId="0" fontId="3" fillId="0" borderId="1" applyAlignment="1" pivotButton="0" quotePrefix="0" xfId="0">
      <alignment horizontal="center" vertical="center"/>
    </xf>
    <xf numFmtId="165" fontId="3" fillId="0" borderId="1" applyAlignment="1" pivotButton="0" quotePrefix="0" xfId="0">
      <alignment horizontal="center" vertical="center"/>
    </xf>
    <xf numFmtId="0" fontId="10" fillId="2" borderId="1" applyAlignment="1" pivotButton="0" quotePrefix="0" xfId="0">
      <alignment horizontal="left" vertical="center"/>
    </xf>
    <xf numFmtId="0" fontId="10" fillId="2" borderId="1" applyAlignment="1" pivotButton="0" quotePrefix="0" xfId="0">
      <alignment horizontal="center" vertical="center"/>
    </xf>
    <xf numFmtId="165" fontId="10" fillId="2" borderId="1" applyAlignment="1" pivotButton="0" quotePrefix="0" xfId="0">
      <alignment horizontal="center"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5"/>
  <sheetViews>
    <sheetView showGridLines="0" workbookViewId="0">
      <selection activeCell="A1" sqref="A1"/>
    </sheetView>
  </sheetViews>
  <sheetFormatPr baseColWidth="8" defaultRowHeight="15"/>
  <cols>
    <col width="108" customWidth="1" min="2" max="2"/>
  </cols>
  <sheetData>
    <row r="1" ht="26" customHeight="1">
      <c r="B1" s="1" t="inlineStr">
        <is>
          <t>누보 포장지 발주관리 시스템 — 기능검수 테스트 체크리스트</t>
        </is>
      </c>
    </row>
    <row r="2">
      <c r="B2" s="2" t="inlineStr">
        <is>
          <t>내부 사용성 테스트용 · 접속 주소 https://nousbo-packaging.onrender.com</t>
        </is>
      </c>
    </row>
    <row r="3">
      <c r="B3" s="3" t="inlineStr"/>
    </row>
    <row r="4" ht="20" customHeight="1">
      <c r="B4" s="4" t="inlineStr">
        <is>
          <t>이 문서를 쓰는 방법</t>
        </is>
      </c>
    </row>
    <row r="5">
      <c r="B5" s="3" t="inlineStr">
        <is>
          <t>1. [테스트계정] 시트에서 본인 계정을 확인하고 로그인합니다.</t>
        </is>
      </c>
    </row>
    <row r="6">
      <c r="B6" s="3" t="inlineStr">
        <is>
          <t>2. 본인 역할 시트(공통 → 요청자 / 브랜드기획팀 / 디자인팀 / 연구소 / 관리자)를 위에서부터 순서대로 수행합니다.</t>
        </is>
      </c>
    </row>
    <row r="7">
      <c r="B7" s="3" t="inlineStr">
        <is>
          <t>3. [공통] 시트는 모든 역할이 공통으로 확인합니다. 본인 역할 시트를 하기 전에 먼저 해주세요.</t>
        </is>
      </c>
    </row>
    <row r="8">
      <c r="B8" s="3" t="inlineStr">
        <is>
          <t>4. 각 행의 [수행 절차]를 그대로 따라 하고, [기대 결과]와 같은지 확인합니다.</t>
        </is>
      </c>
    </row>
    <row r="9">
      <c r="B9" s="3" t="inlineStr">
        <is>
          <t>5. 노란색 칸(결과 · 실제 현상 · 확인일)에 기입합니다. [결과]는 목록에서 고르면 됩니다.</t>
        </is>
      </c>
    </row>
    <row r="10">
      <c r="B10" s="3" t="inlineStr">
        <is>
          <t>6. 기대와 다르면 [결함기록] 시트에 어떻게 하면 다시 나타나는지까지 적어주세요.</t>
        </is>
      </c>
    </row>
    <row r="11">
      <c r="B11" s="3" t="inlineStr"/>
    </row>
    <row r="12" ht="20" customHeight="1">
      <c r="B12" s="4" t="inlineStr">
        <is>
          <t>결과 판정 기준</t>
        </is>
      </c>
    </row>
    <row r="13">
      <c r="B13" s="3" t="inlineStr">
        <is>
          <t>정상 — 기대 결과와 같음</t>
        </is>
      </c>
    </row>
    <row r="14">
      <c r="B14" s="3" t="inlineStr">
        <is>
          <t>실패 — 기대와 다르게 동작하거나 오류가 남 (반드시 [결함기록]에도 남겨주세요)</t>
        </is>
      </c>
    </row>
    <row r="15">
      <c r="B15" s="3" t="inlineStr">
        <is>
          <t>부분 — 동작은 하지만 불편하거나 일부만 맞음 (의견을 함께 적어주세요)</t>
        </is>
      </c>
    </row>
    <row r="16">
      <c r="B16" s="3" t="inlineStr">
        <is>
          <t>해당없음 — 사전 조건을 만들 수 없어 확인하지 못함</t>
        </is>
      </c>
    </row>
    <row r="17">
      <c r="B17" s="3" t="inlineStr"/>
    </row>
    <row r="18" ht="20" customHeight="1">
      <c r="B18" s="4" t="inlineStr">
        <is>
          <t>테스트 전 알아둘 점</t>
        </is>
      </c>
    </row>
    <row r="19">
      <c r="B19" s="3" t="inlineStr">
        <is>
          <t>· 화면이 예전 모습으로 보이면 Ctrl+Shift+R (휴대폰은 새로고침)로 한 번 강력 새로고침 해주세요.</t>
        </is>
      </c>
    </row>
    <row r="20">
      <c r="B20" s="3" t="inlineStr">
        <is>
          <t>· 무료 서버라 한동안 접속이 없으면 첫 화면이 20~30초 정도 늦게 뜰 수 있습니다. 오류가 아닙니다.</t>
        </is>
      </c>
    </row>
    <row r="21">
      <c r="B21" s="3" t="inlineStr">
        <is>
          <t>· 알림(이메일·문자)은 실제로 발송됩니다. 테스트 중 반복 발송에 유의해주세요.</t>
        </is>
      </c>
    </row>
    <row r="22">
      <c r="B22" s="3" t="inlineStr">
        <is>
          <t>· [테스트 데이터 초기화]는 실제 데이터를 지웁니다. 테스트가 모두 끝난 뒤 관리자만 실행하세요.</t>
        </is>
      </c>
    </row>
    <row r="23">
      <c r="B23" s="3" t="inlineStr"/>
    </row>
    <row r="24" ht="20" customHeight="1">
      <c r="B24" s="4" t="inlineStr">
        <is>
          <t>기능검수 범위</t>
        </is>
      </c>
    </row>
    <row r="25">
      <c r="B25" s="3" t="inlineStr">
        <is>
          <t>요청 등록 · 1차 검토 · 디자인 수정 · 최종 검수 · 전달 완료의 전 과정과, 자료 첨부·공유, 알림, 이력 추적, 일괄 업로드/다운로드, AI 비서, 화면 사용성(정렬·확대·모바일)을 포함합니다.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6" customWidth="1" min="3" max="3"/>
    <col width="18" customWidth="1" min="4" max="4"/>
    <col width="12" customWidth="1" min="5" max="5"/>
    <col width="30" customWidth="1" min="6" max="6"/>
  </cols>
  <sheetData>
    <row r="1" ht="30" customHeight="1">
      <c r="A1" s="5" t="inlineStr">
        <is>
          <t>역할</t>
        </is>
      </c>
      <c r="B1" s="5" t="inlineStr">
        <is>
          <t>담당자</t>
        </is>
      </c>
      <c r="C1" s="5" t="inlineStr">
        <is>
          <t>소속</t>
        </is>
      </c>
      <c r="D1" s="5" t="inlineStr">
        <is>
          <t>계정(아이디)</t>
        </is>
      </c>
      <c r="E1" s="5" t="inlineStr">
        <is>
          <t>비밀번호</t>
        </is>
      </c>
      <c r="F1" s="5" t="inlineStr">
        <is>
          <t>이 시트를 수행</t>
        </is>
      </c>
    </row>
    <row r="2">
      <c r="A2" s="6" t="inlineStr">
        <is>
          <t>요청자</t>
        </is>
      </c>
      <c r="B2" s="6" t="inlineStr">
        <is>
          <t>이정인 매니저</t>
        </is>
      </c>
      <c r="C2" s="6" t="inlineStr">
        <is>
          <t>울산공장</t>
        </is>
      </c>
      <c r="D2" s="6" t="inlineStr">
        <is>
          <t>haon</t>
        </is>
      </c>
      <c r="E2" s="6" t="inlineStr">
        <is>
          <t>1234</t>
        </is>
      </c>
      <c r="F2" s="6" t="inlineStr">
        <is>
          <t>공통 → 요청자</t>
        </is>
      </c>
    </row>
    <row r="3">
      <c r="A3" s="7" t="inlineStr">
        <is>
          <t>1차 검토·관리 창구</t>
        </is>
      </c>
      <c r="B3" s="7" t="inlineStr">
        <is>
          <t>박현경 팀장</t>
        </is>
      </c>
      <c r="C3" s="7" t="inlineStr">
        <is>
          <t>브랜드기획팀</t>
        </is>
      </c>
      <c r="D3" s="7" t="inlineStr">
        <is>
          <t>isis9</t>
        </is>
      </c>
      <c r="E3" s="7" t="inlineStr">
        <is>
          <t>1234</t>
        </is>
      </c>
      <c r="F3" s="7" t="inlineStr">
        <is>
          <t>공통 → 브랜드기획팀</t>
        </is>
      </c>
    </row>
    <row r="4">
      <c r="A4" s="6" t="inlineStr">
        <is>
          <t>1차 검토 대체자</t>
        </is>
      </c>
      <c r="B4" s="6" t="inlineStr">
        <is>
          <t>김신덕 본부장</t>
        </is>
      </c>
      <c r="C4" s="6" t="inlineStr">
        <is>
          <t>브랜드기획팀</t>
        </is>
      </c>
      <c r="D4" s="6" t="inlineStr">
        <is>
          <t>shindeok_kim</t>
        </is>
      </c>
      <c r="E4" s="6" t="inlineStr">
        <is>
          <t>1234</t>
        </is>
      </c>
      <c r="F4" s="6" t="inlineStr">
        <is>
          <t>공통 → 브랜드기획팀(부재중 항목)</t>
        </is>
      </c>
    </row>
    <row r="5">
      <c r="A5" s="7" t="inlineStr">
        <is>
          <t>디자인 수정</t>
        </is>
      </c>
      <c r="B5" s="7" t="inlineStr">
        <is>
          <t>최효진 차장</t>
        </is>
      </c>
      <c r="C5" s="7" t="inlineStr">
        <is>
          <t>디자인팀</t>
        </is>
      </c>
      <c r="D5" s="7" t="inlineStr">
        <is>
          <t>guychj</t>
        </is>
      </c>
      <c r="E5" s="7" t="inlineStr">
        <is>
          <t>1234</t>
        </is>
      </c>
      <c r="F5" s="7" t="inlineStr">
        <is>
          <t>공통 → 디자인팀</t>
        </is>
      </c>
    </row>
    <row r="6">
      <c r="A6" s="6" t="inlineStr">
        <is>
          <t>최종 검수</t>
        </is>
      </c>
      <c r="B6" s="6" t="inlineStr">
        <is>
          <t>조현종 소장</t>
        </is>
      </c>
      <c r="C6" s="6" t="inlineStr">
        <is>
          <t>연구소</t>
        </is>
      </c>
      <c r="D6" s="6" t="inlineStr">
        <is>
          <t>hjcho</t>
        </is>
      </c>
      <c r="E6" s="6" t="inlineStr">
        <is>
          <t>1234</t>
        </is>
      </c>
      <c r="F6" s="6" t="inlineStr">
        <is>
          <t>공통 → 연구소</t>
        </is>
      </c>
    </row>
    <row r="7">
      <c r="A7" s="7" t="inlineStr">
        <is>
          <t>관리자</t>
        </is>
      </c>
      <c r="B7" s="7" t="inlineStr">
        <is>
          <t>허동혁 매니저</t>
        </is>
      </c>
      <c r="C7" s="7" t="inlineStr">
        <is>
          <t>-</t>
        </is>
      </c>
      <c r="D7" s="7" t="inlineStr">
        <is>
          <t>nousbo</t>
        </is>
      </c>
      <c r="E7" s="7" t="inlineStr">
        <is>
          <t>1234</t>
        </is>
      </c>
      <c r="F7" s="7" t="inlineStr">
        <is>
          <t>공통 → 관리자</t>
        </is>
      </c>
    </row>
    <row r="9">
      <c r="A9" s="8" t="inlineStr">
        <is>
          <t>※ 비밀번호는 테스트용입니다. 실제 운영 전환 시 각자 변경해주세요. 아이디·비밀번호는 대소문자를 구분합니다.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0" customWidth="1" min="3" max="3"/>
    <col width="22" customWidth="1" min="4" max="4"/>
    <col width="46" customWidth="1" min="5" max="5"/>
    <col width="46" customWidth="1" min="6" max="6"/>
    <col width="10" customWidth="1" min="7" max="7"/>
    <col width="30" customWidth="1" min="8" max="8"/>
    <col width="12" customWidth="1" min="9" max="9"/>
  </cols>
  <sheetData>
    <row r="1" ht="30" customHeight="1">
      <c r="A1" s="5" t="inlineStr">
        <is>
          <t>No</t>
        </is>
      </c>
      <c r="B1" s="5" t="inlineStr">
        <is>
          <t>화면 / 구분</t>
        </is>
      </c>
      <c r="C1" s="5" t="inlineStr">
        <is>
          <t>테스트 항목</t>
        </is>
      </c>
      <c r="D1" s="5" t="inlineStr">
        <is>
          <t>사전 조건</t>
        </is>
      </c>
      <c r="E1" s="5" t="inlineStr">
        <is>
          <t>수행 절차</t>
        </is>
      </c>
      <c r="F1" s="5" t="inlineStr">
        <is>
          <t>기대 결과</t>
        </is>
      </c>
      <c r="G1" s="5" t="inlineStr">
        <is>
          <t>결과</t>
        </is>
      </c>
      <c r="H1" s="5" t="inlineStr">
        <is>
          <t>실제 현상 · 의견</t>
        </is>
      </c>
      <c r="I1" s="5" t="inlineStr">
        <is>
          <t>확인일</t>
        </is>
      </c>
    </row>
    <row r="2">
      <c r="A2" s="9" t="n">
        <v>1</v>
      </c>
      <c r="B2" s="10" t="inlineStr">
        <is>
          <t>로그인</t>
        </is>
      </c>
      <c r="C2" s="10" t="inlineStr">
        <is>
          <t>정상 로그인</t>
        </is>
      </c>
      <c r="D2" s="10" t="inlineStr">
        <is>
          <t>본인 계정 아이디를 안다</t>
        </is>
      </c>
      <c r="E2" s="10" t="inlineStr">
        <is>
          <t>접속 주소로 들어가 아이디와 비밀번호(1234)를 입력하고 [로그인]</t>
        </is>
      </c>
      <c r="F2" s="10" t="inlineStr">
        <is>
          <t>대시보드로 이동하고, 상단에 본인 이름과 역할이 표시된다</t>
        </is>
      </c>
      <c r="G2" s="11" t="n"/>
      <c r="H2" s="12" t="n"/>
      <c r="I2" s="13" t="n"/>
    </row>
    <row r="3">
      <c r="A3" s="14" t="n">
        <v>2</v>
      </c>
      <c r="B3" s="15" t="inlineStr">
        <is>
          <t>로그인</t>
        </is>
      </c>
      <c r="C3" s="15" t="inlineStr">
        <is>
          <t>잘못된 비밀번호</t>
        </is>
      </c>
      <c r="D3" s="15" t="inlineStr">
        <is>
          <t>-</t>
        </is>
      </c>
      <c r="E3" s="15" t="inlineStr">
        <is>
          <t>비밀번호를 틀리게 입력하고 [로그인]</t>
        </is>
      </c>
      <c r="F3" s="15" t="inlineStr">
        <is>
          <t>로그인되지 않고 오류 안내가 뜬다 (어떤 계정인지는 알려주지 않음)</t>
        </is>
      </c>
      <c r="G3" s="11" t="n"/>
      <c r="H3" s="12" t="n"/>
      <c r="I3" s="13" t="n"/>
    </row>
    <row r="4">
      <c r="A4" s="9" t="n">
        <v>3</v>
      </c>
      <c r="B4" s="10" t="inlineStr">
        <is>
          <t>로그인</t>
        </is>
      </c>
      <c r="C4" s="10" t="inlineStr">
        <is>
          <t>로그아웃</t>
        </is>
      </c>
      <c r="D4" s="10" t="inlineStr">
        <is>
          <t>로그인 상태</t>
        </is>
      </c>
      <c r="E4" s="10" t="inlineStr">
        <is>
          <t>상단 우측 [로그아웃] 클릭</t>
        </is>
      </c>
      <c r="F4" s="10" t="inlineStr">
        <is>
          <t>로그인 화면으로 돌아가고, 뒤로가기로 내부 화면에 다시 들어가지지 않는다</t>
        </is>
      </c>
      <c r="G4" s="11" t="n"/>
      <c r="H4" s="12" t="n"/>
      <c r="I4" s="13" t="n"/>
    </row>
    <row r="5">
      <c r="A5" s="14" t="n">
        <v>4</v>
      </c>
      <c r="B5" s="15" t="inlineStr">
        <is>
          <t>상단 메뉴</t>
        </is>
      </c>
      <c r="C5" s="15" t="inlineStr">
        <is>
          <t>메뉴 구성 확인</t>
        </is>
      </c>
      <c r="D5" s="15" t="inlineStr">
        <is>
          <t>로그인 상태</t>
        </is>
      </c>
      <c r="E5" s="15" t="inlineStr">
        <is>
          <t>상단 메뉴 항목을 확인</t>
        </is>
      </c>
      <c r="F5" s="15" t="inlineStr">
        <is>
          <t>대시보드 · 완료·취소 이력 · 품목·파일 · 일괄 업로드/다운로드 · AI 비서 · 알림함이 보인다</t>
        </is>
      </c>
      <c r="G5" s="11" t="n"/>
      <c r="H5" s="12" t="n"/>
      <c r="I5" s="13" t="n"/>
    </row>
    <row r="6">
      <c r="A6" s="9" t="n">
        <v>5</v>
      </c>
      <c r="B6" s="10" t="inlineStr">
        <is>
          <t>대시보드</t>
        </is>
      </c>
      <c r="C6" s="10" t="inlineStr">
        <is>
          <t>진행 흐름 6단계</t>
        </is>
      </c>
      <c r="D6" s="10" t="inlineStr">
        <is>
          <t>진행중인 건이 1건 이상</t>
        </is>
      </c>
      <c r="E6" s="10" t="inlineStr">
        <is>
          <t>목록의 [진행 흐름] 열을 확인하고, 단계 점 위에 마우스를 올려본다</t>
        </is>
      </c>
      <c r="F6" s="10" t="inlineStr">
        <is>
          <t>요청접수→내부확인→디자인수정→최종검수→전달대기→완료가 보이고, 마우스를 올리면 그 단계 담당자가 뜬다</t>
        </is>
      </c>
      <c r="G6" s="11" t="n"/>
      <c r="H6" s="12" t="n"/>
      <c r="I6" s="13" t="n"/>
    </row>
    <row r="7">
      <c r="A7" s="14" t="n">
        <v>6</v>
      </c>
      <c r="B7" s="15" t="inlineStr">
        <is>
          <t>대시보드</t>
        </is>
      </c>
      <c r="C7" s="15" t="inlineStr">
        <is>
          <t>지금 누구 차례인지 표시</t>
        </is>
      </c>
      <c r="D7" s="15" t="inlineStr">
        <is>
          <t>진행중인 건이 1건 이상</t>
        </is>
      </c>
      <c r="E7" s="15" t="inlineStr">
        <is>
          <t>진행 흐름 아래 문구를 확인</t>
        </is>
      </c>
      <c r="F7" s="15" t="inlineStr">
        <is>
          <t>"▸ ○○ 처리 대기"로 현재 담당 부서가 표시된다</t>
        </is>
      </c>
      <c r="G7" s="11" t="n"/>
      <c r="H7" s="12" t="n"/>
      <c r="I7" s="13" t="n"/>
    </row>
    <row r="8">
      <c r="A8" s="9" t="n">
        <v>7</v>
      </c>
      <c r="B8" s="10" t="inlineStr">
        <is>
          <t>대시보드</t>
        </is>
      </c>
      <c r="C8" s="10" t="inlineStr">
        <is>
          <t>상태 색 막대</t>
        </is>
      </c>
      <c r="D8" s="10" t="inlineStr">
        <is>
          <t>진행중인 건이 1건 이상</t>
        </is>
      </c>
      <c r="E8" s="10" t="inlineStr">
        <is>
          <t>[상태] 열의 색 막대에 마우스를 올린다</t>
        </is>
      </c>
      <c r="F8" s="10" t="inlineStr">
        <is>
          <t>상태명(예: 1차검토중)이 툴팁으로 뜬다. 단계별로 색이 다르다</t>
        </is>
      </c>
      <c r="G8" s="11" t="n"/>
      <c r="H8" s="12" t="n"/>
      <c r="I8" s="13" t="n"/>
    </row>
    <row r="9">
      <c r="A9" s="14" t="n">
        <v>8</v>
      </c>
      <c r="B9" s="15" t="inlineStr">
        <is>
          <t>대시보드</t>
        </is>
      </c>
      <c r="C9" s="15" t="inlineStr">
        <is>
          <t>처리 버튼 없음 확인</t>
        </is>
      </c>
      <c r="D9" s="15" t="inlineStr">
        <is>
          <t>진행중인 건이 1건 이상</t>
        </is>
      </c>
      <c r="E9" s="15" t="inlineStr">
        <is>
          <t>목록 행에 처리(반려·취소) 버튼이 있는지 확인</t>
        </is>
      </c>
      <c r="F9" s="15" t="inlineStr">
        <is>
          <t>목록에는 처리 버튼이 없다 (모든 처리는 상세 페이지에서 — 의도된 동작)</t>
        </is>
      </c>
      <c r="G9" s="11" t="n"/>
      <c r="H9" s="12" t="n"/>
      <c r="I9" s="13" t="n"/>
    </row>
    <row r="10">
      <c r="A10" s="9" t="n">
        <v>9</v>
      </c>
      <c r="B10" s="10" t="inlineStr">
        <is>
          <t>요청 상세</t>
        </is>
      </c>
      <c r="C10" s="10" t="inlineStr">
        <is>
          <t>요청사항 강조 표시</t>
        </is>
      </c>
      <c r="D10" s="10" t="inlineStr">
        <is>
          <t>요청사항이 입력된 건</t>
        </is>
      </c>
      <c r="E10" s="10" t="inlineStr">
        <is>
          <t>요청번호를 눌러 상세 페이지로 이동</t>
        </is>
      </c>
      <c r="F10" s="10" t="inlineStr">
        <is>
          <t>제목 아래에 [요청사항] 블록이 굵고 크게, 왼쪽 초록 선과 함께 표시된다</t>
        </is>
      </c>
      <c r="G10" s="11" t="n"/>
      <c r="H10" s="12" t="n"/>
      <c r="I10" s="13" t="n"/>
    </row>
    <row r="11">
      <c r="A11" s="14" t="n">
        <v>10</v>
      </c>
      <c r="B11" s="15" t="inlineStr">
        <is>
          <t>요청 상세</t>
        </is>
      </c>
      <c r="C11" s="15" t="inlineStr">
        <is>
          <t>이력 타임라인</t>
        </is>
      </c>
      <c r="D11" s="15" t="inlineStr">
        <is>
          <t>처리가 1회 이상 진행된 건</t>
        </is>
      </c>
      <c r="E11" s="15" t="inlineStr">
        <is>
          <t>상세 페이지 오른쪽 [이력] 패널을 확인</t>
        </is>
      </c>
      <c r="F11" s="15" t="inlineStr">
        <is>
          <t>등록부터 현재까지 누가·언제·무엇을 했는지 시간순으로 남아 있고, 패널 아래 끝이 왼쪽 영역과 나란히 맞는다</t>
        </is>
      </c>
      <c r="G11" s="11" t="n"/>
      <c r="H11" s="12" t="n"/>
      <c r="I11" s="13" t="n"/>
    </row>
    <row r="12">
      <c r="A12" s="9" t="n">
        <v>11</v>
      </c>
      <c r="B12" s="10" t="inlineStr">
        <is>
          <t>요청 상세</t>
        </is>
      </c>
      <c r="C12" s="10" t="inlineStr">
        <is>
          <t>미리보기 확대(팝업)</t>
        </is>
      </c>
      <c r="D12" s="10" t="inlineStr">
        <is>
          <t>이미지가 있는 건</t>
        </is>
      </c>
      <c r="E12" s="10" t="inlineStr">
        <is>
          <t>미리보기 이미지를 클릭 → [+]/[−]·마우스 휠로 확대·축소 → 확대 상태에서 드래그 → [원래대로] → Esc</t>
        </is>
      </c>
      <c r="F12" s="10" t="inlineStr">
        <is>
          <t>새 탭이 열리지 않고 화면 안에서 팝업으로 크게 열린다. 확대·이동·초기화·닫기가 모두 동작한다</t>
        </is>
      </c>
      <c r="G12" s="11" t="n"/>
      <c r="H12" s="12" t="n"/>
      <c r="I12" s="13" t="n"/>
    </row>
    <row r="13">
      <c r="A13" s="14" t="n">
        <v>12</v>
      </c>
      <c r="B13" s="15" t="inlineStr">
        <is>
          <t>이력 검색</t>
        </is>
      </c>
      <c r="C13" s="15" t="inlineStr">
        <is>
          <t>완료·취소 이력 검색</t>
        </is>
      </c>
      <c r="D13" s="15" t="inlineStr">
        <is>
          <t>완료 또는 취소된 건이 있다</t>
        </is>
      </c>
      <c r="E13" s="15" t="inlineStr">
        <is>
          <t>[완료·취소 이력] 메뉴 → 요청번호/품목명/품목코드로 검색, 상태 필터 적용</t>
        </is>
      </c>
      <c r="F13" s="15" t="inlineStr">
        <is>
          <t>검색어와 상태에 맞는 건만 표시된다</t>
        </is>
      </c>
      <c r="G13" s="11" t="n"/>
      <c r="H13" s="12" t="n"/>
      <c r="I13" s="13" t="n"/>
    </row>
    <row r="14">
      <c r="A14" s="9" t="n">
        <v>13</v>
      </c>
      <c r="B14" s="10" t="inlineStr">
        <is>
          <t>품목·파일</t>
        </is>
      </c>
      <c r="C14" s="10" t="inlineStr">
        <is>
          <t>품목 검색과 버전 이력</t>
        </is>
      </c>
      <c r="D14" s="10" t="inlineStr">
        <is>
          <t>-</t>
        </is>
      </c>
      <c r="E14" s="10" t="inlineStr">
        <is>
          <t>[품목·파일] 메뉴에서 품목명을 검색하고 품목을 연다</t>
        </is>
      </c>
      <c r="F14" s="10" t="inlineStr">
        <is>
          <t>해당 품목의 파일 버전 이력이 보이고, AI·JPG를 내려받을 수 있다</t>
        </is>
      </c>
      <c r="G14" s="11" t="n"/>
      <c r="H14" s="12" t="n"/>
      <c r="I14" s="13" t="n"/>
    </row>
    <row r="15">
      <c r="A15" s="14" t="n">
        <v>14</v>
      </c>
      <c r="B15" s="15" t="inlineStr">
        <is>
          <t>품목·파일</t>
        </is>
      </c>
      <c r="C15" s="15" t="inlineStr">
        <is>
          <t>한글 파일명 다운로드</t>
        </is>
      </c>
      <c r="D15" s="15" t="inlineStr">
        <is>
          <t>한글 품목명 파일이 있다</t>
        </is>
      </c>
      <c r="E15" s="15" t="inlineStr">
        <is>
          <t>AI 또는 JPG [다운로드] 클릭 후 저장된 파일명을 확인</t>
        </is>
      </c>
      <c r="F15" s="15" t="inlineStr">
        <is>
          <t>파일명이 깨지지 않고 "품목명_v버전_날짜" 규칙으로 저장된다</t>
        </is>
      </c>
      <c r="G15" s="11" t="n"/>
      <c r="H15" s="12" t="n"/>
      <c r="I15" s="13" t="n"/>
    </row>
    <row r="16">
      <c r="A16" s="9" t="n">
        <v>15</v>
      </c>
      <c r="B16" s="10" t="inlineStr">
        <is>
          <t>알림</t>
        </is>
      </c>
      <c r="C16" s="10" t="inlineStr">
        <is>
          <t>알림함 확인</t>
        </is>
      </c>
      <c r="D16" s="10" t="inlineStr">
        <is>
          <t>내 차례가 된 건이 있다</t>
        </is>
      </c>
      <c r="E16" s="10" t="inlineStr">
        <is>
          <t>상단 [알림함] 클릭</t>
        </is>
      </c>
      <c r="F16" s="10" t="inlineStr">
        <is>
          <t>숫자 배지가 떠 있고, 알림을 누르면 해당 건 상세로 이동한다</t>
        </is>
      </c>
      <c r="G16" s="11" t="n"/>
      <c r="H16" s="12" t="n"/>
      <c r="I16" s="13" t="n"/>
    </row>
    <row r="17">
      <c r="A17" s="14" t="n">
        <v>16</v>
      </c>
      <c r="B17" s="15" t="inlineStr">
        <is>
          <t>알림</t>
        </is>
      </c>
      <c r="C17" s="15" t="inlineStr">
        <is>
          <t>이메일·문자 수신</t>
        </is>
      </c>
      <c r="D17" s="15" t="inlineStr">
        <is>
          <t>프로필에 이메일·휴대폰번호가 등록되어 있다</t>
        </is>
      </c>
      <c r="E17" s="15" t="inlineStr">
        <is>
          <t>내 차례가 되는 처리를 다른 계정에서 발생시킨 뒤 메일함·문자 확인</t>
        </is>
      </c>
      <c r="F17" s="15" t="inlineStr">
        <is>
          <t>해당 내용의 알림이 실제로 도착한다</t>
        </is>
      </c>
      <c r="G17" s="11" t="n"/>
      <c r="H17" s="12" t="n"/>
      <c r="I17" s="13" t="n"/>
    </row>
    <row r="18">
      <c r="A18" s="9" t="n">
        <v>17</v>
      </c>
      <c r="B18" s="10" t="inlineStr">
        <is>
          <t>AI 비서</t>
        </is>
      </c>
      <c r="C18" s="10" t="inlineStr">
        <is>
          <t>자연어 질문</t>
        </is>
      </c>
      <c r="D18" s="10" t="inlineStr">
        <is>
          <t>진행중인 건이 있다</t>
        </is>
      </c>
      <c r="E18" s="10" t="inlineStr">
        <is>
          <t>[AI 비서] → "지금 진행 중인 발주 알려줘" 입력 후 Enter</t>
        </is>
      </c>
      <c r="F18" s="10" t="inlineStr">
        <is>
          <t>글자가 흘러나오듯 답변이 표시되고, 실제 요청번호·상태가 언급된다</t>
        </is>
      </c>
      <c r="G18" s="11" t="n"/>
      <c r="H18" s="12" t="n"/>
      <c r="I18" s="13" t="n"/>
    </row>
    <row r="19">
      <c r="A19" s="14" t="n">
        <v>18</v>
      </c>
      <c r="B19" s="15" t="inlineStr">
        <is>
          <t>AI 비서</t>
        </is>
      </c>
      <c r="C19" s="15" t="inlineStr">
        <is>
          <t>입력 편의</t>
        </is>
      </c>
      <c r="D19" s="15" t="inlineStr">
        <is>
          <t>-</t>
        </is>
      </c>
      <c r="E19" s="15" t="inlineStr">
        <is>
          <t>입력창에서 Shift+Enter로 줄바꿈, Enter로 전송. 한글 입력 중 마지막 글자 확정 Enter도 눌러본다</t>
        </is>
      </c>
      <c r="F19" s="15" t="inlineStr">
        <is>
          <t>Shift+Enter는 줄바꿈만 되고, 한글 조합 확정용 Enter로 잘못 전송되지 않는다</t>
        </is>
      </c>
      <c r="G19" s="11" t="n"/>
      <c r="H19" s="12" t="n"/>
      <c r="I19" s="13" t="n"/>
    </row>
    <row r="20">
      <c r="A20" s="9" t="n">
        <v>19</v>
      </c>
      <c r="B20" s="10" t="inlineStr">
        <is>
          <t>모바일</t>
        </is>
      </c>
      <c r="C20" s="10" t="inlineStr">
        <is>
          <t>휴대폰 화면</t>
        </is>
      </c>
      <c r="D20" s="10" t="inlineStr">
        <is>
          <t>휴대폰 브라우저</t>
        </is>
      </c>
      <c r="E20" s="10" t="inlineStr">
        <is>
          <t>휴대폰으로 접속해 대시보드·상세 페이지를 확인</t>
        </is>
      </c>
      <c r="F20" s="10" t="inlineStr">
        <is>
          <t>상단 메뉴가 ≡로 접히고 표가 카드로 바뀐다. 좌우 스크롤 없이 읽힌다</t>
        </is>
      </c>
      <c r="G20" s="11" t="n"/>
      <c r="H20" s="12" t="n"/>
      <c r="I20" s="13" t="n"/>
    </row>
    <row r="21">
      <c r="A21" s="14" t="n">
        <v>20</v>
      </c>
      <c r="B21" s="15" t="inlineStr">
        <is>
          <t>가이드</t>
        </is>
      </c>
      <c r="C21" s="15" t="inlineStr">
        <is>
          <t>사용 매뉴얼</t>
        </is>
      </c>
      <c r="D21" s="15" t="inlineStr">
        <is>
          <t>-</t>
        </is>
      </c>
      <c r="E21" s="15" t="inlineStr">
        <is>
          <t>로그인 화면 하단 또는 /guide/ 접속</t>
        </is>
      </c>
      <c r="F21" s="15" t="inlineStr">
        <is>
          <t>역할별 사용법이 최신 화면과 일치한다</t>
        </is>
      </c>
      <c r="G21" s="11" t="n"/>
      <c r="H21" s="12" t="n"/>
      <c r="I21" s="13" t="n"/>
    </row>
    <row r="23">
      <c r="B23" s="16" t="inlineStr">
        <is>
          <t>※ 모든 역할이 공통으로 확인하는 항목입니다. 본인 역할 시트를 수행하기 전에 먼저 진행해주세요.</t>
        </is>
      </c>
    </row>
    <row r="24"/>
  </sheetData>
  <autoFilter ref="A1:I21"/>
  <mergeCells count="1">
    <mergeCell ref="B23:F24"/>
  </mergeCells>
  <dataValidations count="1">
    <dataValidation sqref="G2 G3 G4 G5 G6 G7 G8 G9 G10 G11 G12 G13 G14 G15 G16 G17 G18 G19 G20 G21" showDropDown="0" showInputMessage="0" showErrorMessage="0" allowBlank="1" promptTitle="검수 결과" prompt="정상 / 실패 / 부분 / 해당없음 중에서 고르세요" type="list">
      <formula1>"정상,실패,부분,해당없음"</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0" customWidth="1" min="3" max="3"/>
    <col width="22" customWidth="1" min="4" max="4"/>
    <col width="46" customWidth="1" min="5" max="5"/>
    <col width="46" customWidth="1" min="6" max="6"/>
    <col width="10" customWidth="1" min="7" max="7"/>
    <col width="30" customWidth="1" min="8" max="8"/>
    <col width="12" customWidth="1" min="9" max="9"/>
  </cols>
  <sheetData>
    <row r="1" ht="30" customHeight="1">
      <c r="A1" s="5" t="inlineStr">
        <is>
          <t>No</t>
        </is>
      </c>
      <c r="B1" s="5" t="inlineStr">
        <is>
          <t>화면 / 구분</t>
        </is>
      </c>
      <c r="C1" s="5" t="inlineStr">
        <is>
          <t>테스트 항목</t>
        </is>
      </c>
      <c r="D1" s="5" t="inlineStr">
        <is>
          <t>사전 조건</t>
        </is>
      </c>
      <c r="E1" s="5" t="inlineStr">
        <is>
          <t>수행 절차</t>
        </is>
      </c>
      <c r="F1" s="5" t="inlineStr">
        <is>
          <t>기대 결과</t>
        </is>
      </c>
      <c r="G1" s="5" t="inlineStr">
        <is>
          <t>결과</t>
        </is>
      </c>
      <c r="H1" s="5" t="inlineStr">
        <is>
          <t>실제 현상 · 의견</t>
        </is>
      </c>
      <c r="I1" s="5" t="inlineStr">
        <is>
          <t>확인일</t>
        </is>
      </c>
    </row>
    <row r="2">
      <c r="A2" s="9" t="n">
        <v>1</v>
      </c>
      <c r="B2" s="10" t="inlineStr">
        <is>
          <t>대시보드</t>
        </is>
      </c>
      <c r="C2" s="10" t="inlineStr">
        <is>
          <t>내 건만 보이는지</t>
        </is>
      </c>
      <c r="D2" s="10" t="inlineStr">
        <is>
          <t>다른 사람이 등록한 건도 존재</t>
        </is>
      </c>
      <c r="E2" s="10" t="inlineStr">
        <is>
          <t>대시보드 목록을 확인</t>
        </is>
      </c>
      <c r="F2" s="10" t="inlineStr">
        <is>
          <t>내가 등록한 건만 보인다 (타인 건은 보이지 않음)</t>
        </is>
      </c>
      <c r="G2" s="11" t="n"/>
      <c r="H2" s="12" t="n"/>
      <c r="I2" s="13" t="n"/>
    </row>
    <row r="3">
      <c r="A3" s="14" t="n">
        <v>2</v>
      </c>
      <c r="B3" s="15" t="inlineStr">
        <is>
          <t>대시보드</t>
        </is>
      </c>
      <c r="C3" s="15" t="inlineStr">
        <is>
          <t>진행중인 건만 표시</t>
        </is>
      </c>
      <c r="D3" s="15" t="inlineStr">
        <is>
          <t>완료·취소된 내 건이 있다</t>
        </is>
      </c>
      <c r="E3" s="15" t="inlineStr">
        <is>
          <t>대시보드 목록과 [완료·취소 이력]을 비교</t>
        </is>
      </c>
      <c r="F3" s="15" t="inlineStr">
        <is>
          <t>대시보드에는 진행중인 건만, 완료·취소 건은 이력 페이지에서 검색된다</t>
        </is>
      </c>
      <c r="G3" s="11" t="n"/>
      <c r="H3" s="12" t="n"/>
      <c r="I3" s="13" t="n"/>
    </row>
    <row r="4">
      <c r="A4" s="9" t="n">
        <v>3</v>
      </c>
      <c r="B4" s="10" t="inlineStr">
        <is>
          <t>발주요청</t>
        </is>
      </c>
      <c r="C4" s="10" t="inlineStr">
        <is>
          <t>품목 검색 후 등록</t>
        </is>
      </c>
      <c r="D4" s="10" t="inlineStr">
        <is>
          <t>진행중인 건이 없는 품목이 있다</t>
        </is>
      </c>
      <c r="E4" s="10" t="inlineStr">
        <is>
          <t>[+ 발주요청 등록] → 검색창에 품목명 일부 입력 → 품목 선택 → 사유 선택 → 요청사항 입력 → [요청 등록]</t>
        </is>
      </c>
      <c r="F4" s="10" t="inlineStr">
        <is>
          <t>등록되고 상세 페이지로 이동한다. 요청번호가 자동 채번된다</t>
        </is>
      </c>
      <c r="G4" s="11" t="n"/>
      <c r="H4" s="12" t="n"/>
      <c r="I4" s="13" t="n"/>
    </row>
    <row r="5">
      <c r="A5" s="14" t="n">
        <v>4</v>
      </c>
      <c r="B5" s="15" t="inlineStr">
        <is>
          <t>발주요청</t>
        </is>
      </c>
      <c r="C5" s="15" t="inlineStr">
        <is>
          <t>요청사항 필수 확인</t>
        </is>
      </c>
      <c r="D5" s="15" t="inlineStr">
        <is>
          <t>-</t>
        </is>
      </c>
      <c r="E5" s="15" t="inlineStr">
        <is>
          <t>요청사항을 비운 채 [요청 등록]</t>
        </is>
      </c>
      <c r="F5" s="15" t="inlineStr">
        <is>
          <t>등록되지 않고 입력하라는 안내가 뜬다</t>
        </is>
      </c>
      <c r="G5" s="11" t="n"/>
      <c r="H5" s="12" t="n"/>
      <c r="I5" s="13" t="n"/>
    </row>
    <row r="6">
      <c r="A6" s="9" t="n">
        <v>5</v>
      </c>
      <c r="B6" s="10" t="inlineStr">
        <is>
          <t>발주요청</t>
        </is>
      </c>
      <c r="C6" s="10" t="inlineStr">
        <is>
          <t>요청사항 자료 첨부</t>
        </is>
      </c>
      <c r="D6" s="10" t="inlineStr">
        <is>
          <t>첨부할 파일 준비(PDF·이미지 등)</t>
        </is>
      </c>
      <c r="E6" s="10" t="inlineStr">
        <is>
          <t>등록 화면에서 [요청사항 자료]에 파일을 선택하고 등록</t>
        </is>
      </c>
      <c r="F6" s="10" t="inlineStr">
        <is>
          <t>등록 후 이력에 첨부 표시가 남고, 다운로드 링크가 생긴다</t>
        </is>
      </c>
      <c r="G6" s="11" t="n"/>
      <c r="H6" s="12" t="n"/>
      <c r="I6" s="13" t="n"/>
    </row>
    <row r="7">
      <c r="A7" s="14" t="n">
        <v>6</v>
      </c>
      <c r="B7" s="15" t="inlineStr">
        <is>
          <t>발주요청</t>
        </is>
      </c>
      <c r="C7" s="15" t="inlineStr">
        <is>
          <t>첨부 없이 등록</t>
        </is>
      </c>
      <c r="D7" s="15" t="inlineStr">
        <is>
          <t>-</t>
        </is>
      </c>
      <c r="E7" s="15" t="inlineStr">
        <is>
          <t>[요청사항 자료]를 비운 채 등록</t>
        </is>
      </c>
      <c r="F7" s="15" t="inlineStr">
        <is>
          <t>첨부는 선택이므로 정상 등록된다</t>
        </is>
      </c>
      <c r="G7" s="11" t="n"/>
      <c r="H7" s="12" t="n"/>
      <c r="I7" s="13" t="n"/>
    </row>
    <row r="8">
      <c r="A8" s="9" t="n">
        <v>7</v>
      </c>
      <c r="B8" s="10" t="inlineStr">
        <is>
          <t>발주요청</t>
        </is>
      </c>
      <c r="C8" s="10" t="inlineStr">
        <is>
          <t>중복 등록 방지</t>
        </is>
      </c>
      <c r="D8" s="10" t="inlineStr">
        <is>
          <t>이미 진행중인 건이 있는 품목</t>
        </is>
      </c>
      <c r="E8" s="10" t="inlineStr">
        <is>
          <t>같은 품목으로 다시 [요청 등록]</t>
        </is>
      </c>
      <c r="F8" s="10" t="inlineStr">
        <is>
          <t>새로 만들어지지 않고 기존 건으로 이동하며 안내 메시지가 뜬다</t>
        </is>
      </c>
      <c r="G8" s="11" t="n"/>
      <c r="H8" s="12" t="n"/>
      <c r="I8" s="13" t="n"/>
    </row>
    <row r="9">
      <c r="A9" s="14" t="n">
        <v>8</v>
      </c>
      <c r="B9" s="15" t="inlineStr">
        <is>
          <t>요청 상세</t>
        </is>
      </c>
      <c r="C9" s="15" t="inlineStr">
        <is>
          <t>진행 상황 확인</t>
        </is>
      </c>
      <c r="D9" s="15" t="inlineStr">
        <is>
          <t>등록한 건이 있다</t>
        </is>
      </c>
      <c r="E9" s="15" t="inlineStr">
        <is>
          <t>요청번호 클릭 → 현재 파일 · 처리 영역 · 이력 확인</t>
        </is>
      </c>
      <c r="F9" s="15" t="inlineStr">
        <is>
          <t>지금 누구 차례인지(대기 배너)와 현재 연결된 파일이 보인다</t>
        </is>
      </c>
      <c r="G9" s="11" t="n"/>
      <c r="H9" s="12" t="n"/>
      <c r="I9" s="13" t="n"/>
    </row>
    <row r="10">
      <c r="A10" s="9" t="n">
        <v>9</v>
      </c>
      <c r="B10" s="10" t="inlineStr">
        <is>
          <t>요청 취소</t>
        </is>
      </c>
      <c r="C10" s="10" t="inlineStr">
        <is>
          <t>사유 미입력 차단</t>
        </is>
      </c>
      <c r="D10" s="10" t="inlineStr">
        <is>
          <t>완료 전 상태의 내 건</t>
        </is>
      </c>
      <c r="E10" s="10" t="inlineStr">
        <is>
          <t>상세 페이지 하단 [요청 취소] 펼치기 → 사유를 비운 채 제출</t>
        </is>
      </c>
      <c r="F10" s="10" t="inlineStr">
        <is>
          <t>취소되지 않고 사유를 입력하라는 표시가 뜬다</t>
        </is>
      </c>
      <c r="G10" s="11" t="n"/>
      <c r="H10" s="12" t="n"/>
      <c r="I10" s="13" t="n"/>
    </row>
    <row r="11">
      <c r="A11" s="14" t="n">
        <v>10</v>
      </c>
      <c r="B11" s="15" t="inlineStr">
        <is>
          <t>요청 취소</t>
        </is>
      </c>
      <c r="C11" s="15" t="inlineStr">
        <is>
          <t>사유 입력 후 취소</t>
        </is>
      </c>
      <c r="D11" s="15" t="inlineStr">
        <is>
          <t>완료 전 상태의 내 건</t>
        </is>
      </c>
      <c r="E11" s="15" t="inlineStr">
        <is>
          <t>[요청 취소] → 사유 입력 → 제출</t>
        </is>
      </c>
      <c r="F11" s="15" t="inlineStr">
        <is>
          <t>상태가 취소됨으로 바뀌고, 이력에 사유가 남으며 담당자들에게 알림이 간다</t>
        </is>
      </c>
      <c r="G11" s="11" t="n"/>
      <c r="H11" s="12" t="n"/>
      <c r="I11" s="13" t="n"/>
    </row>
    <row r="12">
      <c r="A12" s="9" t="n">
        <v>11</v>
      </c>
      <c r="B12" s="10" t="inlineStr">
        <is>
          <t>완료 처리</t>
        </is>
      </c>
      <c r="C12" s="10" t="inlineStr">
        <is>
          <t>최종 파일 수령</t>
        </is>
      </c>
      <c r="D12" s="10" t="inlineStr">
        <is>
          <t>완료 상태의 내 건</t>
        </is>
      </c>
      <c r="E12" s="10" t="inlineStr">
        <is>
          <t>상세 페이지 [현재 파일]에서 AI·JPG 다운로드</t>
        </is>
      </c>
      <c r="F12" s="10" t="inlineStr">
        <is>
          <t>[최종 승인본] 배지가 붙어 있고, 파일이 정상 다운로드된다</t>
        </is>
      </c>
      <c r="G12" s="11" t="n"/>
      <c r="H12" s="12" t="n"/>
      <c r="I12" s="13" t="n"/>
    </row>
    <row r="13">
      <c r="A13" s="14" t="n">
        <v>12</v>
      </c>
      <c r="B13" s="15" t="inlineStr">
        <is>
          <t>권한</t>
        </is>
      </c>
      <c r="C13" s="15" t="inlineStr">
        <is>
          <t>처리 버튼 미노출</t>
        </is>
      </c>
      <c r="D13" s="15" t="inlineStr">
        <is>
          <t>진행중인 내 건</t>
        </is>
      </c>
      <c r="E13" s="15" t="inlineStr">
        <is>
          <t>상세 페이지 처리 영역 확인</t>
        </is>
      </c>
      <c r="F13" s="15" t="inlineStr">
        <is>
          <t>검수요청·승인·반려 같은 다른 역할의 버튼은 보이지 않는다 (요청 취소만 가능)</t>
        </is>
      </c>
      <c r="G13" s="11" t="n"/>
      <c r="H13" s="12" t="n"/>
      <c r="I13" s="13" t="n"/>
    </row>
    <row r="15">
      <c r="B15" s="16" t="inlineStr">
        <is>
          <t>※ 울산공장 이정인 매니저(haon) 계정으로 수행합니다.</t>
        </is>
      </c>
    </row>
    <row r="16"/>
  </sheetData>
  <autoFilter ref="A1:I13"/>
  <mergeCells count="1">
    <mergeCell ref="B15:F16"/>
  </mergeCells>
  <dataValidations count="1">
    <dataValidation sqref="G2 G3 G4 G5 G6 G7 G8 G9 G10 G11 G12 G13" showDropDown="0" showInputMessage="0" showErrorMessage="0" allowBlank="1" promptTitle="검수 결과" prompt="정상 / 실패 / 부분 / 해당없음 중에서 고르세요" type="list">
      <formula1>"정상,실패,부분,해당없음"</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0" customWidth="1" min="3" max="3"/>
    <col width="22" customWidth="1" min="4" max="4"/>
    <col width="46" customWidth="1" min="5" max="5"/>
    <col width="46" customWidth="1" min="6" max="6"/>
    <col width="10" customWidth="1" min="7" max="7"/>
    <col width="30" customWidth="1" min="8" max="8"/>
    <col width="12" customWidth="1" min="9" max="9"/>
  </cols>
  <sheetData>
    <row r="1" ht="30" customHeight="1">
      <c r="A1" s="5" t="inlineStr">
        <is>
          <t>No</t>
        </is>
      </c>
      <c r="B1" s="5" t="inlineStr">
        <is>
          <t>화면 / 구분</t>
        </is>
      </c>
      <c r="C1" s="5" t="inlineStr">
        <is>
          <t>테스트 항목</t>
        </is>
      </c>
      <c r="D1" s="5" t="inlineStr">
        <is>
          <t>사전 조건</t>
        </is>
      </c>
      <c r="E1" s="5" t="inlineStr">
        <is>
          <t>수행 절차</t>
        </is>
      </c>
      <c r="F1" s="5" t="inlineStr">
        <is>
          <t>기대 결과</t>
        </is>
      </c>
      <c r="G1" s="5" t="inlineStr">
        <is>
          <t>결과</t>
        </is>
      </c>
      <c r="H1" s="5" t="inlineStr">
        <is>
          <t>실제 현상 · 의견</t>
        </is>
      </c>
      <c r="I1" s="5" t="inlineStr">
        <is>
          <t>확인일</t>
        </is>
      </c>
    </row>
    <row r="2">
      <c r="A2" s="9" t="n">
        <v>1</v>
      </c>
      <c r="B2" s="10" t="inlineStr">
        <is>
          <t>대시보드</t>
        </is>
      </c>
      <c r="C2" s="10" t="inlineStr">
        <is>
          <t>두 목록 확인</t>
        </is>
      </c>
      <c r="D2" s="10" t="inlineStr">
        <is>
          <t>진행중인 건이 있다</t>
        </is>
      </c>
      <c r="E2" s="10" t="inlineStr">
        <is>
          <t>대시보드 상단(내가 처리할 건)과 하단(전체 진행중 현황)을 확인</t>
        </is>
      </c>
      <c r="F2" s="10" t="inlineStr">
        <is>
          <t>내 차례 건과 회사 전체 진행중 건이 각각 표로 보인다</t>
        </is>
      </c>
      <c r="G2" s="11" t="n"/>
      <c r="H2" s="12" t="n"/>
      <c r="I2" s="13" t="n"/>
    </row>
    <row r="3">
      <c r="A3" s="14" t="n">
        <v>2</v>
      </c>
      <c r="B3" s="15" t="inlineStr">
        <is>
          <t>대시보드</t>
        </is>
      </c>
      <c r="C3" s="15" t="inlineStr">
        <is>
          <t>대기 경과 표시</t>
        </is>
      </c>
      <c r="D3" s="15" t="inlineStr">
        <is>
          <t>3일 넘게 멈춘 건이 있으면</t>
        </is>
      </c>
      <c r="E3" s="15" t="inlineStr">
        <is>
          <t>[대기 경과] 열 확인</t>
        </is>
      </c>
      <c r="F3" s="15" t="inlineStr">
        <is>
          <t>경과 시간이 표시되고, 3일 넘은 건은 붉은색과 ⚠로 강조된다</t>
        </is>
      </c>
      <c r="G3" s="11" t="n"/>
      <c r="H3" s="12" t="n"/>
      <c r="I3" s="13" t="n"/>
    </row>
    <row r="4">
      <c r="A4" s="9" t="n">
        <v>3</v>
      </c>
      <c r="B4" s="10" t="inlineStr">
        <is>
          <t>1차검토</t>
        </is>
      </c>
      <c r="C4" s="10" t="inlineStr">
        <is>
          <t>처리 영역 구성</t>
        </is>
      </c>
      <c r="D4" s="10" t="inlineStr">
        <is>
          <t>1차검토중 건</t>
        </is>
      </c>
      <c r="E4" s="10" t="inlineStr">
        <is>
          <t>상세 페이지 [처리] 영역 확인</t>
        </is>
      </c>
      <c r="F4" s="10" t="inlineStr">
        <is>
          <t>"내 차례" 배너와 함께 카드가 나뉘어 있고, 정상 절차(연구소 최종검수 요청)만 초록 테두리로 강조된다</t>
        </is>
      </c>
      <c r="G4" s="11" t="n"/>
      <c r="H4" s="12" t="n"/>
      <c r="I4" s="13" t="n"/>
    </row>
    <row r="5">
      <c r="A5" s="14" t="n">
        <v>4</v>
      </c>
      <c r="B5" s="15" t="inlineStr">
        <is>
          <t>1차검토</t>
        </is>
      </c>
      <c r="C5" s="15" t="inlineStr">
        <is>
          <t>최종 검수요청(연구소)</t>
        </is>
      </c>
      <c r="D5" s="15" t="inlineStr">
        <is>
          <t>1차검토중 건, 파일 있음</t>
        </is>
      </c>
      <c r="E5" s="15" t="inlineStr">
        <is>
          <t>[최종 검수요청(연구소)] 클릭</t>
        </is>
      </c>
      <c r="F5" s="15" t="inlineStr">
        <is>
          <t>상태가 최종검수중으로 바뀌고 연구소에 알림이 간다</t>
        </is>
      </c>
      <c r="G5" s="11" t="n"/>
      <c r="H5" s="12" t="n"/>
      <c r="I5" s="13" t="n"/>
    </row>
    <row r="6">
      <c r="A6" s="9" t="n">
        <v>5</v>
      </c>
      <c r="B6" s="10" t="inlineStr">
        <is>
          <t>1차검토</t>
        </is>
      </c>
      <c r="C6" s="10" t="inlineStr">
        <is>
          <t>디자인 수정요청</t>
        </is>
      </c>
      <c r="D6" s="10" t="inlineStr">
        <is>
          <t>1차검토중 건</t>
        </is>
      </c>
      <c r="E6" s="10" t="inlineStr">
        <is>
          <t>수정 지시사항 입력 → [디자인 수정요청] 클릭</t>
        </is>
      </c>
      <c r="F6" s="10" t="inlineStr">
        <is>
          <t>상태가 디자인수정중으로 바뀌고 디자인팀에 알림이 간다</t>
        </is>
      </c>
      <c r="G6" s="11" t="n"/>
      <c r="H6" s="12" t="n"/>
      <c r="I6" s="13" t="n"/>
    </row>
    <row r="7">
      <c r="A7" s="14" t="n">
        <v>6</v>
      </c>
      <c r="B7" s="15" t="inlineStr">
        <is>
          <t>1차검토</t>
        </is>
      </c>
      <c r="C7" s="15" t="inlineStr">
        <is>
          <t>참고 파일 첨부</t>
        </is>
      </c>
      <c r="D7" s="15" t="inlineStr">
        <is>
          <t>1차검토중 건, 첨부 파일 준비</t>
        </is>
      </c>
      <c r="E7" s="15" t="inlineStr">
        <is>
          <t>디자인 수정요청 카드에서 [참고 파일] 선택 후 제출</t>
        </is>
      </c>
      <c r="F7" s="15" t="inlineStr">
        <is>
          <t>이력에 첨부가 남고 디자인팀이 다운로드할 수 있다</t>
        </is>
      </c>
      <c r="G7" s="11" t="n"/>
      <c r="H7" s="12" t="n"/>
      <c r="I7" s="13" t="n"/>
    </row>
    <row r="8">
      <c r="A8" s="9" t="n">
        <v>7</v>
      </c>
      <c r="B8" s="10" t="inlineStr">
        <is>
          <t>1차검토</t>
        </is>
      </c>
      <c r="C8" s="10" t="inlineStr">
        <is>
          <t>3개월 예외 체크박스</t>
        </is>
      </c>
      <c r="D8" s="10" t="inlineStr">
        <is>
          <t>최근 3개월 내 승인된 파일이 연결된 건</t>
        </is>
      </c>
      <c r="E8" s="10" t="inlineStr">
        <is>
          <t>최종 검수요청 카드에 체크박스가 있는지 확인 후 체크하고 제출</t>
        </is>
      </c>
      <c r="F8" s="10" t="inlineStr">
        <is>
          <t>조건을 만족할 때만 체크박스가 보이고, 체크 시 연구소를 거치지 않고 완료된다</t>
        </is>
      </c>
      <c r="G8" s="11" t="n"/>
      <c r="H8" s="12" t="n"/>
      <c r="I8" s="13" t="n"/>
    </row>
    <row r="9">
      <c r="A9" s="14" t="n">
        <v>8</v>
      </c>
      <c r="B9" s="15" t="inlineStr">
        <is>
          <t>1차검토</t>
        </is>
      </c>
      <c r="C9" s="15" t="inlineStr">
        <is>
          <t>검수 생략 완료 — 사유 필수</t>
        </is>
      </c>
      <c r="D9" s="15" t="inlineStr">
        <is>
          <t>1차검토중 건, 파일 있음</t>
        </is>
      </c>
      <c r="E9" s="15" t="inlineStr">
        <is>
          <t>[연구소 검수 생략하고 완료 처리] 펼치기 → 사유를 비운 채 제출</t>
        </is>
      </c>
      <c r="F9" s="15" t="inlineStr">
        <is>
          <t>완료되지 않고 사유 입력을 요구한다</t>
        </is>
      </c>
      <c r="G9" s="11" t="n"/>
      <c r="H9" s="12" t="n"/>
      <c r="I9" s="13" t="n"/>
    </row>
    <row r="10">
      <c r="A10" s="9" t="n">
        <v>9</v>
      </c>
      <c r="B10" s="10" t="inlineStr">
        <is>
          <t>1차검토</t>
        </is>
      </c>
      <c r="C10" s="10" t="inlineStr">
        <is>
          <t>검수 생략 완료 — 정상</t>
        </is>
      </c>
      <c r="D10" s="10" t="inlineStr">
        <is>
          <t>1차검토중 건, 파일 있음</t>
        </is>
      </c>
      <c r="E10" s="10" t="inlineStr">
        <is>
          <t>사유를 입력하고 [완료 처리] 클릭</t>
        </is>
      </c>
      <c r="F10" s="10" t="inlineStr">
        <is>
          <t>상태가 완료로 바뀌고, 현재 파일이 최종 승인본으로 등록된다</t>
        </is>
      </c>
      <c r="G10" s="11" t="n"/>
      <c r="H10" s="12" t="n"/>
      <c r="I10" s="13" t="n"/>
    </row>
    <row r="11">
      <c r="A11" s="14" t="n">
        <v>10</v>
      </c>
      <c r="B11" s="15" t="inlineStr">
        <is>
          <t>1차검토</t>
        </is>
      </c>
      <c r="C11" s="15" t="inlineStr">
        <is>
          <t>검수 생략 시 연구소 통보</t>
        </is>
      </c>
      <c r="D11" s="15" t="inlineStr">
        <is>
          <t>위 항목 수행 직후</t>
        </is>
      </c>
      <c r="E11" s="15" t="inlineStr">
        <is>
          <t>연구소 계정(hjcho)의 알림함 확인</t>
        </is>
      </c>
      <c r="F11" s="15" t="inlineStr">
        <is>
          <t>검수 없이 완료되었다는 알림과 사유가 전달되어 있다</t>
        </is>
      </c>
      <c r="G11" s="11" t="n"/>
      <c r="H11" s="12" t="n"/>
      <c r="I11" s="13" t="n"/>
    </row>
    <row r="12">
      <c r="A12" s="9" t="n">
        <v>11</v>
      </c>
      <c r="B12" s="10" t="inlineStr">
        <is>
          <t>1차검토</t>
        </is>
      </c>
      <c r="C12" s="10" t="inlineStr">
        <is>
          <t>검수 생략 이력 기록</t>
        </is>
      </c>
      <c r="D12" s="10" t="inlineStr">
        <is>
          <t>위 항목 수행 직후</t>
        </is>
      </c>
      <c r="E12" s="10" t="inlineStr">
        <is>
          <t>해당 건 상세 페이지의 이력 확인</t>
        </is>
      </c>
      <c r="F12" s="10" t="inlineStr">
        <is>
          <t>"연구소 검수 없이 완료 처리"와 입력한 사유가 남아 있다</t>
        </is>
      </c>
      <c r="G12" s="11" t="n"/>
      <c r="H12" s="12" t="n"/>
      <c r="I12" s="13" t="n"/>
    </row>
    <row r="13">
      <c r="A13" s="14" t="n">
        <v>12</v>
      </c>
      <c r="B13" s="15" t="inlineStr">
        <is>
          <t>최종검수중</t>
        </is>
      </c>
      <c r="C13" s="15" t="inlineStr">
        <is>
          <t>직접 반려</t>
        </is>
      </c>
      <c r="D13" s="15" t="inlineStr">
        <is>
          <t>최종검수중 건</t>
        </is>
      </c>
      <c r="E13" s="15" t="inlineStr">
        <is>
          <t>[반려] 펼치기 → 사유 입력 → 제출</t>
        </is>
      </c>
      <c r="F13" s="15" t="inlineStr">
        <is>
          <t>상태가 1차검토중으로 되돌아가고 사유가 이력에 남는다</t>
        </is>
      </c>
      <c r="G13" s="11" t="n"/>
      <c r="H13" s="12" t="n"/>
      <c r="I13" s="13" t="n"/>
    </row>
    <row r="14">
      <c r="A14" s="9" t="n">
        <v>13</v>
      </c>
      <c r="B14" s="10" t="inlineStr">
        <is>
          <t>최종검수중</t>
        </is>
      </c>
      <c r="C14" s="10" t="inlineStr">
        <is>
          <t>승인 버튼 미노출</t>
        </is>
      </c>
      <c r="D14" s="10" t="inlineStr">
        <is>
          <t>최종검수중 건</t>
        </is>
      </c>
      <c r="E14" s="10" t="inlineStr">
        <is>
          <t>처리 영역 확인</t>
        </is>
      </c>
      <c r="F14" s="10" t="inlineStr">
        <is>
          <t>승인·수정필요(경미)는 연구소 전용이므로 이 계정에는 보이지 않는다</t>
        </is>
      </c>
      <c r="G14" s="11" t="n"/>
      <c r="H14" s="12" t="n"/>
      <c r="I14" s="13" t="n"/>
    </row>
    <row r="15">
      <c r="A15" s="14" t="n">
        <v>14</v>
      </c>
      <c r="B15" s="15" t="inlineStr">
        <is>
          <t>전달대기</t>
        </is>
      </c>
      <c r="C15" s="15" t="inlineStr">
        <is>
          <t>최종파일 전달·완료</t>
        </is>
      </c>
      <c r="D15" s="15" t="inlineStr">
        <is>
          <t>전달대기 건</t>
        </is>
      </c>
      <c r="E15" s="15" t="inlineStr">
        <is>
          <t>[최종파일 전달 · 완료 처리] 클릭</t>
        </is>
      </c>
      <c r="F15" s="15" t="inlineStr">
        <is>
          <t>상태가 완료로 바뀌고 요청자에게 완료 알림이 간다</t>
        </is>
      </c>
      <c r="G15" s="11" t="n"/>
      <c r="H15" s="12" t="n"/>
      <c r="I15" s="13" t="n"/>
    </row>
    <row r="16">
      <c r="A16" s="9" t="n">
        <v>15</v>
      </c>
      <c r="B16" s="10" t="inlineStr">
        <is>
          <t>전달대기</t>
        </is>
      </c>
      <c r="C16" s="10" t="inlineStr">
        <is>
          <t>승인 취소</t>
        </is>
      </c>
      <c r="D16" s="10" t="inlineStr">
        <is>
          <t>전달대기 건</t>
        </is>
      </c>
      <c r="E16" s="10" t="inlineStr">
        <is>
          <t>[승인 취소] 펼치기 → 사유 입력 → 제출</t>
        </is>
      </c>
      <c r="F16" s="10" t="inlineStr">
        <is>
          <t>상태가 최종검수중으로 되돌아간다</t>
        </is>
      </c>
      <c r="G16" s="11" t="n"/>
      <c r="H16" s="12" t="n"/>
      <c r="I16" s="13" t="n"/>
    </row>
    <row r="17">
      <c r="A17" s="14" t="n">
        <v>16</v>
      </c>
      <c r="B17" s="15" t="inlineStr">
        <is>
          <t>요청 취소</t>
        </is>
      </c>
      <c r="C17" s="15" t="inlineStr">
        <is>
          <t>1차검토중 건 취소</t>
        </is>
      </c>
      <c r="D17" s="15" t="inlineStr">
        <is>
          <t>1차검토중 건</t>
        </is>
      </c>
      <c r="E17" s="15" t="inlineStr">
        <is>
          <t>[요청 취소] → 사유 입력 → 제출</t>
        </is>
      </c>
      <c r="F17" s="15" t="inlineStr">
        <is>
          <t>요청 자체가 취소됨으로 종료되고 관련자에게 알림이 간다</t>
        </is>
      </c>
      <c r="G17" s="11" t="n"/>
      <c r="H17" s="12" t="n"/>
      <c r="I17" s="13" t="n"/>
    </row>
    <row r="18">
      <c r="A18" s="9" t="n">
        <v>17</v>
      </c>
      <c r="B18" s="10" t="inlineStr">
        <is>
          <t>부재중</t>
        </is>
      </c>
      <c r="C18" s="10" t="inlineStr">
        <is>
          <t>부재중 설정</t>
        </is>
      </c>
      <c r="D18" s="10" t="inlineStr">
        <is>
          <t>-</t>
        </is>
      </c>
      <c r="E18" s="10" t="inlineStr">
        <is>
          <t>상단 [부재중 설정] 클릭 후, 김신덕(shindeok_kim) 계정으로 로그인해 대시보드 확인</t>
        </is>
      </c>
      <c r="F18" s="10" t="inlineStr">
        <is>
          <t>대체 담당자 대시보드에도 동일한 대기 건이 나타난다</t>
        </is>
      </c>
      <c r="G18" s="11" t="n"/>
      <c r="H18" s="12" t="n"/>
      <c r="I18" s="13" t="n"/>
    </row>
    <row r="19">
      <c r="A19" s="14" t="n">
        <v>18</v>
      </c>
      <c r="B19" s="15" t="inlineStr">
        <is>
          <t>부재중</t>
        </is>
      </c>
      <c r="C19" s="15" t="inlineStr">
        <is>
          <t>부재중 해제</t>
        </is>
      </c>
      <c r="D19" s="15" t="inlineStr">
        <is>
          <t>부재중 설정 상태</t>
        </is>
      </c>
      <c r="E19" s="15" t="inlineStr">
        <is>
          <t>[부재중 해제] 클릭 후 대체 계정 대시보드 재확인</t>
        </is>
      </c>
      <c r="F19" s="15" t="inlineStr">
        <is>
          <t>대체 담당자 목록에서 대기 건이 사라진다</t>
        </is>
      </c>
      <c r="G19" s="11" t="n"/>
      <c r="H19" s="12" t="n"/>
      <c r="I19" s="13" t="n"/>
    </row>
    <row r="20">
      <c r="A20" s="9" t="n">
        <v>19</v>
      </c>
      <c r="B20" s="10" t="inlineStr">
        <is>
          <t>일괄 업로드</t>
        </is>
      </c>
      <c r="C20" s="10" t="inlineStr">
        <is>
          <t>파일 묶음 자동 인식</t>
        </is>
      </c>
      <c r="D20" s="10" t="inlineStr">
        <is>
          <t>AI+이미지 쌍 파일 준비</t>
        </is>
      </c>
      <c r="E20" s="10" t="inlineStr">
        <is>
          <t>[일괄 업로드/다운로드] → 파일 여러 개 선택</t>
        </is>
      </c>
      <c r="F20" s="10" t="inlineStr">
        <is>
          <t>같은 이름의 AI·이미지가 한 묶음으로 자동으로 묶여 표시된다</t>
        </is>
      </c>
      <c r="G20" s="11" t="n"/>
      <c r="H20" s="12" t="n"/>
      <c r="I20" s="13" t="n"/>
    </row>
    <row r="21">
      <c r="A21" s="14" t="n">
        <v>20</v>
      </c>
      <c r="B21" s="15" t="inlineStr">
        <is>
          <t>일괄 업로드</t>
        </is>
      </c>
      <c r="C21" s="15" t="inlineStr">
        <is>
          <t>필수값 검증</t>
        </is>
      </c>
      <c r="D21" s="15" t="inlineStr">
        <is>
          <t>위 상태에서</t>
        </is>
      </c>
      <c r="E21" s="15" t="inlineStr">
        <is>
          <t>품목·승인자·승인일·사유 중 하나를 비우고 제출</t>
        </is>
      </c>
      <c r="F21" s="15" t="inlineStr">
        <is>
          <t>제출이 막히고 무엇을 채워야 하는지 안내가 뜬다</t>
        </is>
      </c>
      <c r="G21" s="11" t="n"/>
      <c r="H21" s="12" t="n"/>
      <c r="I21" s="13" t="n"/>
    </row>
    <row r="22">
      <c r="A22" s="9" t="n">
        <v>21</v>
      </c>
      <c r="B22" s="10" t="inlineStr">
        <is>
          <t>일괄 업로드</t>
        </is>
      </c>
      <c r="C22" s="10" t="inlineStr">
        <is>
          <t>등록과 요청번호 채번</t>
        </is>
      </c>
      <c r="D22" s="10" t="inlineStr">
        <is>
          <t>필수값을 모두 입력</t>
        </is>
      </c>
      <c r="E22" s="10" t="inlineStr">
        <is>
          <t>[업로드] 실행 후 [완료·취소 이력] 확인</t>
        </is>
      </c>
      <c r="F22" s="10" t="inlineStr">
        <is>
          <t>완료 상태의 발주 건이 자동 생성되고 요청번호가 붙는다. 사유는 "파일 확인 요청"으로 표시된다</t>
        </is>
      </c>
      <c r="G22" s="11" t="n"/>
      <c r="H22" s="12" t="n"/>
      <c r="I22" s="13" t="n"/>
    </row>
    <row r="23">
      <c r="A23" s="14" t="n">
        <v>22</v>
      </c>
      <c r="B23" s="15" t="inlineStr">
        <is>
          <t>일괄 다운로드</t>
        </is>
      </c>
      <c r="C23" s="15" t="inlineStr">
        <is>
          <t>zip + 목록</t>
        </is>
      </c>
      <c r="D23" s="15" t="inlineStr">
        <is>
          <t>최종 승인본이 있는 품목이 여러 개</t>
        </is>
      </c>
      <c r="E23" s="15" t="inlineStr">
        <is>
          <t>[일괄 다운로드]에서 품목을 골라 내려받기</t>
        </is>
      </c>
      <c r="F23" s="15" t="inlineStr">
        <is>
          <t>zip 안에 파일들과 manifest.csv(이력 목록)가 함께 들어 있다</t>
        </is>
      </c>
      <c r="G23" s="11" t="n"/>
      <c r="H23" s="12" t="n"/>
      <c r="I23" s="13" t="n"/>
    </row>
    <row r="25">
      <c r="B25" s="16" t="inlineStr">
        <is>
          <t>※ 박현경 팀장(isis9) 계정으로 수행합니다. 부재중 항목은 김신덕 본부장(shindeok_kim) 계정도 함께 필요합니다.</t>
        </is>
      </c>
    </row>
    <row r="26"/>
  </sheetData>
  <autoFilter ref="A1:I23"/>
  <mergeCells count="1">
    <mergeCell ref="B25:F26"/>
  </mergeCells>
  <dataValidations count="1">
    <dataValidation sqref="G2 G3 G4 G5 G6 G7 G8 G9 G10 G11 G12 G13 G14 G15 G16 G17 G18 G19 G20 G21 G22 G23" showDropDown="0" showInputMessage="0" showErrorMessage="0" allowBlank="1" promptTitle="검수 결과" prompt="정상 / 실패 / 부분 / 해당없음 중에서 고르세요" type="list">
      <formula1>"정상,실패,부분,해당없음"</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0" customWidth="1" min="3" max="3"/>
    <col width="22" customWidth="1" min="4" max="4"/>
    <col width="46" customWidth="1" min="5" max="5"/>
    <col width="46" customWidth="1" min="6" max="6"/>
    <col width="10" customWidth="1" min="7" max="7"/>
    <col width="30" customWidth="1" min="8" max="8"/>
    <col width="12" customWidth="1" min="9" max="9"/>
  </cols>
  <sheetData>
    <row r="1" ht="30" customHeight="1">
      <c r="A1" s="5" t="inlineStr">
        <is>
          <t>No</t>
        </is>
      </c>
      <c r="B1" s="5" t="inlineStr">
        <is>
          <t>화면 / 구분</t>
        </is>
      </c>
      <c r="C1" s="5" t="inlineStr">
        <is>
          <t>테스트 항목</t>
        </is>
      </c>
      <c r="D1" s="5" t="inlineStr">
        <is>
          <t>사전 조건</t>
        </is>
      </c>
      <c r="E1" s="5" t="inlineStr">
        <is>
          <t>수행 절차</t>
        </is>
      </c>
      <c r="F1" s="5" t="inlineStr">
        <is>
          <t>기대 결과</t>
        </is>
      </c>
      <c r="G1" s="5" t="inlineStr">
        <is>
          <t>결과</t>
        </is>
      </c>
      <c r="H1" s="5" t="inlineStr">
        <is>
          <t>실제 현상 · 의견</t>
        </is>
      </c>
      <c r="I1" s="5" t="inlineStr">
        <is>
          <t>확인일</t>
        </is>
      </c>
    </row>
    <row r="2">
      <c r="A2" s="9" t="n">
        <v>1</v>
      </c>
      <c r="B2" s="10" t="inlineStr">
        <is>
          <t>대시보드</t>
        </is>
      </c>
      <c r="C2" s="10" t="inlineStr">
        <is>
          <t>배정된 건만 표시</t>
        </is>
      </c>
      <c r="D2" s="10" t="inlineStr">
        <is>
          <t>디자인수정중 건이 있다</t>
        </is>
      </c>
      <c r="E2" s="10" t="inlineStr">
        <is>
          <t>대시보드 목록 확인</t>
        </is>
      </c>
      <c r="F2" s="10" t="inlineStr">
        <is>
          <t>디자인수정중 건만 보이고, [지시자] 열에 수정을 요청한 담당자가 표시된다</t>
        </is>
      </c>
      <c r="G2" s="11" t="n"/>
      <c r="H2" s="12" t="n"/>
      <c r="I2" s="13" t="n"/>
    </row>
    <row r="3">
      <c r="A3" s="14" t="n">
        <v>2</v>
      </c>
      <c r="B3" s="15" t="inlineStr">
        <is>
          <t>요청 상세</t>
        </is>
      </c>
      <c r="C3" s="15" t="inlineStr">
        <is>
          <t>수정 지시사항 확인</t>
        </is>
      </c>
      <c r="D3" s="15" t="inlineStr">
        <is>
          <t>디자인수정중 건</t>
        </is>
      </c>
      <c r="E3" s="15" t="inlineStr">
        <is>
          <t>요청번호 클릭 → 이력(타임라인) 확인</t>
        </is>
      </c>
      <c r="F3" s="15" t="inlineStr">
        <is>
          <t>박현경 팀장이 남긴 수정 지시사항이 그대로 보인다</t>
        </is>
      </c>
      <c r="G3" s="11" t="n"/>
      <c r="H3" s="12" t="n"/>
      <c r="I3" s="13" t="n"/>
    </row>
    <row r="4">
      <c r="A4" s="9" t="n">
        <v>3</v>
      </c>
      <c r="B4" s="10" t="inlineStr">
        <is>
          <t>요청 상세</t>
        </is>
      </c>
      <c r="C4" s="10" t="inlineStr">
        <is>
          <t>참고 파일 다운로드</t>
        </is>
      </c>
      <c r="D4" s="10" t="inlineStr">
        <is>
          <t>참고 파일이 첨부된 건</t>
        </is>
      </c>
      <c r="E4" s="10" t="inlineStr">
        <is>
          <t>이력의 "수정 요청" 항목에서 [참고 파일 다운로드] 클릭</t>
        </is>
      </c>
      <c r="F4" s="10" t="inlineStr">
        <is>
          <t>파일이 정상 다운로드되고 파일명이 깨지지 않는다</t>
        </is>
      </c>
      <c r="G4" s="11" t="n"/>
      <c r="H4" s="12" t="n"/>
      <c r="I4" s="13" t="n"/>
    </row>
    <row r="5">
      <c r="A5" s="14" t="n">
        <v>4</v>
      </c>
      <c r="B5" s="15" t="inlineStr">
        <is>
          <t>파일 업로드</t>
        </is>
      </c>
      <c r="C5" s="15" t="inlineStr">
        <is>
          <t>AI+이미지 업로드</t>
        </is>
      </c>
      <c r="D5" s="15" t="inlineStr">
        <is>
          <t>디자인수정중 건, 수정 파일 준비</t>
        </is>
      </c>
      <c r="E5" s="15" t="inlineStr">
        <is>
          <t>AI 파일과 이미지 파일을 각각 선택하고 수정 내용 입력 후 [수정 파일 업로드]</t>
        </is>
      </c>
      <c r="F5" s="15" t="inlineStr">
        <is>
          <t>새 버전(v2, v3…)으로 기록되고 상태가 1차검토중으로 돌아간다</t>
        </is>
      </c>
      <c r="G5" s="11" t="n"/>
      <c r="H5" s="12" t="n"/>
      <c r="I5" s="13" t="n"/>
    </row>
    <row r="6">
      <c r="A6" s="9" t="n">
        <v>5</v>
      </c>
      <c r="B6" s="10" t="inlineStr">
        <is>
          <t>파일 업로드</t>
        </is>
      </c>
      <c r="C6" s="10" t="inlineStr">
        <is>
          <t>한쪽만 첨부 시 차단</t>
        </is>
      </c>
      <c r="D6" s="10" t="inlineStr">
        <is>
          <t>디자인수정중 건</t>
        </is>
      </c>
      <c r="E6" s="10" t="inlineStr">
        <is>
          <t>AI 파일만 선택하고 업로드 시도</t>
        </is>
      </c>
      <c r="F6" s="10" t="inlineStr">
        <is>
          <t>제출이 막히고 두 파일 모두 필요하다는 안내가 뜬다</t>
        </is>
      </c>
      <c r="G6" s="11" t="n"/>
      <c r="H6" s="12" t="n"/>
      <c r="I6" s="13" t="n"/>
    </row>
    <row r="7">
      <c r="A7" s="14" t="n">
        <v>6</v>
      </c>
      <c r="B7" s="15" t="inlineStr">
        <is>
          <t>파일 업로드</t>
        </is>
      </c>
      <c r="C7" s="15" t="inlineStr">
        <is>
          <t>PDF 업로드</t>
        </is>
      </c>
      <c r="D7" s="15" t="inlineStr">
        <is>
          <t>PDF 파일 준비</t>
        </is>
      </c>
      <c r="E7" s="15" t="inlineStr">
        <is>
          <t>이미지 자리에 PDF를 선택해 업로드</t>
        </is>
      </c>
      <c r="F7" s="15" t="inlineStr">
        <is>
          <t>정상 등록되고 PDF 첫 페이지가 미리보기 이미지로 자동 생성된다</t>
        </is>
      </c>
      <c r="G7" s="11" t="n"/>
      <c r="H7" s="12" t="n"/>
      <c r="I7" s="13" t="n"/>
    </row>
    <row r="8">
      <c r="A8" s="9" t="n">
        <v>7</v>
      </c>
      <c r="B8" s="10" t="inlineStr">
        <is>
          <t>파일 업로드</t>
        </is>
      </c>
      <c r="C8" s="10" t="inlineStr">
        <is>
          <t>PNG·GIF 업로드</t>
        </is>
      </c>
      <c r="D8" s="10" t="inlineStr">
        <is>
          <t>PNG 또는 GIF 준비</t>
        </is>
      </c>
      <c r="E8" s="10" t="inlineStr">
        <is>
          <t>이미지 자리에 PNG/GIF를 선택해 업로드</t>
        </is>
      </c>
      <c r="F8" s="10" t="inlineStr">
        <is>
          <t>JPG가 아니어도 정상 등록된다</t>
        </is>
      </c>
      <c r="G8" s="11" t="n"/>
      <c r="H8" s="12" t="n"/>
      <c r="I8" s="13" t="n"/>
    </row>
    <row r="9">
      <c r="A9" s="14" t="n">
        <v>8</v>
      </c>
      <c r="B9" s="15" t="inlineStr">
        <is>
          <t>파일 업로드</t>
        </is>
      </c>
      <c r="C9" s="15" t="inlineStr">
        <is>
          <t>잘못된 파일 차단</t>
        </is>
      </c>
      <c r="D9" s="15" t="inlineStr">
        <is>
          <t>이미지가 아닌 파일(예: txt) 준비</t>
        </is>
      </c>
      <c r="E9" s="15" t="inlineStr">
        <is>
          <t>이미지 자리에 txt 파일을 선택해 업로드</t>
        </is>
      </c>
      <c r="F9" s="15" t="inlineStr">
        <is>
          <t>거부되고 올바른 형식을 올리라는 안내가 뜬다</t>
        </is>
      </c>
      <c r="G9" s="11" t="n"/>
      <c r="H9" s="12" t="n"/>
      <c r="I9" s="13" t="n"/>
    </row>
    <row r="10">
      <c r="A10" s="9" t="n">
        <v>9</v>
      </c>
      <c r="B10" s="10" t="inlineStr">
        <is>
          <t>디자인 반려</t>
        </is>
      </c>
      <c r="C10" s="10" t="inlineStr">
        <is>
          <t>사유 필수</t>
        </is>
      </c>
      <c r="D10" s="10" t="inlineStr">
        <is>
          <t>디자인수정중 건</t>
        </is>
      </c>
      <c r="E10" s="10" t="inlineStr">
        <is>
          <t>[디자인 반려] 펼치기 → 사유를 비운 채 제출</t>
        </is>
      </c>
      <c r="F10" s="10" t="inlineStr">
        <is>
          <t>반려되지 않고 사유 입력을 요구한다</t>
        </is>
      </c>
      <c r="G10" s="11" t="n"/>
      <c r="H10" s="12" t="n"/>
      <c r="I10" s="13" t="n"/>
    </row>
    <row r="11">
      <c r="A11" s="14" t="n">
        <v>10</v>
      </c>
      <c r="B11" s="15" t="inlineStr">
        <is>
          <t>디자인 반려</t>
        </is>
      </c>
      <c r="C11" s="15" t="inlineStr">
        <is>
          <t>반려 처리</t>
        </is>
      </c>
      <c r="D11" s="15" t="inlineStr">
        <is>
          <t>디자인수정중 건</t>
        </is>
      </c>
      <c r="E11" s="15" t="inlineStr">
        <is>
          <t>사유 입력 후 [반려하고 1차검토로 되돌리기]</t>
        </is>
      </c>
      <c r="F11" s="15" t="inlineStr">
        <is>
          <t>상태가 1차검토중으로 돌아가고 사유가 이력에 남는다</t>
        </is>
      </c>
      <c r="G11" s="11" t="n"/>
      <c r="H11" s="12" t="n"/>
      <c r="I11" s="13" t="n"/>
    </row>
    <row r="12">
      <c r="A12" s="9" t="n">
        <v>11</v>
      </c>
      <c r="B12" s="10" t="inlineStr">
        <is>
          <t>권한</t>
        </is>
      </c>
      <c r="C12" s="10" t="inlineStr">
        <is>
          <t>검수 버튼 미노출</t>
        </is>
      </c>
      <c r="D12" s="10" t="inlineStr">
        <is>
          <t>디자인수정중 건</t>
        </is>
      </c>
      <c r="E12" s="10" t="inlineStr">
        <is>
          <t>처리 영역 확인</t>
        </is>
      </c>
      <c r="F12" s="10" t="inlineStr">
        <is>
          <t>승인·최종검수요청 등 다른 역할의 버튼은 보이지 않는다</t>
        </is>
      </c>
      <c r="G12" s="11" t="n"/>
      <c r="H12" s="12" t="n"/>
      <c r="I12" s="13" t="n"/>
    </row>
    <row r="14">
      <c r="B14" s="16" t="inlineStr">
        <is>
          <t>※ 최효진 차장(guychj) 계정으로 수행합니다. 디자인수정중 건이 없으면 브랜드기획팀에 수정요청을 먼저 요청하세요.</t>
        </is>
      </c>
    </row>
    <row r="15"/>
  </sheetData>
  <autoFilter ref="A1:I12"/>
  <mergeCells count="1">
    <mergeCell ref="B14:F15"/>
  </mergeCells>
  <dataValidations count="1">
    <dataValidation sqref="G2 G3 G4 G5 G6 G7 G8 G9 G10 G11 G12" showDropDown="0" showInputMessage="0" showErrorMessage="0" allowBlank="1" promptTitle="검수 결과" prompt="정상 / 실패 / 부분 / 해당없음 중에서 고르세요" type="list">
      <formula1>"정상,실패,부분,해당없음"</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0" customWidth="1" min="3" max="3"/>
    <col width="22" customWidth="1" min="4" max="4"/>
    <col width="46" customWidth="1" min="5" max="5"/>
    <col width="46" customWidth="1" min="6" max="6"/>
    <col width="10" customWidth="1" min="7" max="7"/>
    <col width="30" customWidth="1" min="8" max="8"/>
    <col width="12" customWidth="1" min="9" max="9"/>
  </cols>
  <sheetData>
    <row r="1" ht="30" customHeight="1">
      <c r="A1" s="5" t="inlineStr">
        <is>
          <t>No</t>
        </is>
      </c>
      <c r="B1" s="5" t="inlineStr">
        <is>
          <t>화면 / 구분</t>
        </is>
      </c>
      <c r="C1" s="5" t="inlineStr">
        <is>
          <t>테스트 항목</t>
        </is>
      </c>
      <c r="D1" s="5" t="inlineStr">
        <is>
          <t>사전 조건</t>
        </is>
      </c>
      <c r="E1" s="5" t="inlineStr">
        <is>
          <t>수행 절차</t>
        </is>
      </c>
      <c r="F1" s="5" t="inlineStr">
        <is>
          <t>기대 결과</t>
        </is>
      </c>
      <c r="G1" s="5" t="inlineStr">
        <is>
          <t>결과</t>
        </is>
      </c>
      <c r="H1" s="5" t="inlineStr">
        <is>
          <t>실제 현상 · 의견</t>
        </is>
      </c>
      <c r="I1" s="5" t="inlineStr">
        <is>
          <t>확인일</t>
        </is>
      </c>
    </row>
    <row r="2">
      <c r="A2" s="9" t="n">
        <v>1</v>
      </c>
      <c r="B2" s="10" t="inlineStr">
        <is>
          <t>대시보드</t>
        </is>
      </c>
      <c r="C2" s="10" t="inlineStr">
        <is>
          <t>검수 대기 건만 표시</t>
        </is>
      </c>
      <c r="D2" s="10" t="inlineStr">
        <is>
          <t>최종검수중 건이 있다</t>
        </is>
      </c>
      <c r="E2" s="10" t="inlineStr">
        <is>
          <t>대시보드 목록 확인</t>
        </is>
      </c>
      <c r="F2" s="10" t="inlineStr">
        <is>
          <t>최종검수중 건만 보인다</t>
        </is>
      </c>
      <c r="G2" s="11" t="n"/>
      <c r="H2" s="12" t="n"/>
      <c r="I2" s="13" t="n"/>
    </row>
    <row r="3">
      <c r="A3" s="14" t="n">
        <v>2</v>
      </c>
      <c r="B3" s="15" t="inlineStr">
        <is>
          <t>요청 상세</t>
        </is>
      </c>
      <c r="C3" s="15" t="inlineStr">
        <is>
          <t>검수 대상 파일 확인</t>
        </is>
      </c>
      <c r="D3" s="15" t="inlineStr">
        <is>
          <t>최종검수중 건</t>
        </is>
      </c>
      <c r="E3" s="15" t="inlineStr">
        <is>
          <t>[현재 파일]에서 AI·JPG 다운로드, 미리보기 확대로 표시사항 확인</t>
        </is>
      </c>
      <c r="F3" s="15" t="inlineStr">
        <is>
          <t>파일이 정상 다운로드되고, 확대 팝업으로 작은 글씨까지 확인된다</t>
        </is>
      </c>
      <c r="G3" s="11" t="n"/>
      <c r="H3" s="12" t="n"/>
      <c r="I3" s="13" t="n"/>
    </row>
    <row r="4">
      <c r="A4" s="9" t="n">
        <v>3</v>
      </c>
      <c r="B4" s="10" t="inlineStr">
        <is>
          <t>처리 영역</t>
        </is>
      </c>
      <c r="C4" s="10" t="inlineStr">
        <is>
          <t>승인과 되돌리기 분리</t>
        </is>
      </c>
      <c r="D4" s="10" t="inlineStr">
        <is>
          <t>최종검수중 건</t>
        </is>
      </c>
      <c r="E4" s="10" t="inlineStr">
        <is>
          <t>처리 영역 구성 확인</t>
        </is>
      </c>
      <c r="F4" s="10" t="inlineStr">
        <is>
          <t>[승인]은 사유 없이 별도 카드로, [수정 필요(경미)]·[반려]는 사유 입력란이 있는 다른 카드로 나뉘어 있다</t>
        </is>
      </c>
      <c r="G4" s="11" t="n"/>
      <c r="H4" s="12" t="n"/>
      <c r="I4" s="13" t="n"/>
    </row>
    <row r="5">
      <c r="A5" s="14" t="n">
        <v>4</v>
      </c>
      <c r="B5" s="15" t="inlineStr">
        <is>
          <t>승인</t>
        </is>
      </c>
      <c r="C5" s="15" t="inlineStr">
        <is>
          <t>최종 승인</t>
        </is>
      </c>
      <c r="D5" s="15" t="inlineStr">
        <is>
          <t>최종검수중 건</t>
        </is>
      </c>
      <c r="E5" s="15" t="inlineStr">
        <is>
          <t>[승인] 클릭</t>
        </is>
      </c>
      <c r="F5" s="15" t="inlineStr">
        <is>
          <t>상태가 전달대기로 바뀌고, 파일이 최종 승인본으로 잠기며 브랜드기획팀에 알림이 간다</t>
        </is>
      </c>
      <c r="G5" s="11" t="n"/>
      <c r="H5" s="12" t="n"/>
      <c r="I5" s="13" t="n"/>
    </row>
    <row r="6">
      <c r="A6" s="9" t="n">
        <v>5</v>
      </c>
      <c r="B6" s="10" t="inlineStr">
        <is>
          <t>반려</t>
        </is>
      </c>
      <c r="C6" s="10" t="inlineStr">
        <is>
          <t>사유 필수 확인</t>
        </is>
      </c>
      <c r="D6" s="10" t="inlineStr">
        <is>
          <t>최종검수중 건</t>
        </is>
      </c>
      <c r="E6" s="10" t="inlineStr">
        <is>
          <t>사유를 비운 채 [반려] 클릭</t>
        </is>
      </c>
      <c r="F6" s="10" t="inlineStr">
        <is>
          <t>반려되지 않고 사유 입력을 요구한다</t>
        </is>
      </c>
      <c r="G6" s="11" t="n"/>
      <c r="H6" s="12" t="n"/>
      <c r="I6" s="13" t="n"/>
    </row>
    <row r="7">
      <c r="A7" s="14" t="n">
        <v>6</v>
      </c>
      <c r="B7" s="15" t="inlineStr">
        <is>
          <t>반려</t>
        </is>
      </c>
      <c r="C7" s="15" t="inlineStr">
        <is>
          <t>반려 처리</t>
        </is>
      </c>
      <c r="D7" s="15" t="inlineStr">
        <is>
          <t>최종검수중 건</t>
        </is>
      </c>
      <c r="E7" s="15" t="inlineStr">
        <is>
          <t>사유 입력 후 [반려]</t>
        </is>
      </c>
      <c r="F7" s="15" t="inlineStr">
        <is>
          <t>상태가 1차검토중으로 돌아가고 사유가 담당자 전원에게 전달된다</t>
        </is>
      </c>
      <c r="G7" s="11" t="n"/>
      <c r="H7" s="12" t="n"/>
      <c r="I7" s="13" t="n"/>
    </row>
    <row r="8">
      <c r="A8" s="9" t="n">
        <v>7</v>
      </c>
      <c r="B8" s="10" t="inlineStr">
        <is>
          <t>수정필요</t>
        </is>
      </c>
      <c r="C8" s="10" t="inlineStr">
        <is>
          <t>수정 필요(경미)</t>
        </is>
      </c>
      <c r="D8" s="10" t="inlineStr">
        <is>
          <t>최종검수중 건</t>
        </is>
      </c>
      <c r="E8" s="10" t="inlineStr">
        <is>
          <t>사유 입력 후 [수정 필요(경미)]</t>
        </is>
      </c>
      <c r="F8" s="10" t="inlineStr">
        <is>
          <t>상태가 1차검토중으로 돌아가고 이력에 경미 수정으로 기록된다</t>
        </is>
      </c>
      <c r="G8" s="11" t="n"/>
      <c r="H8" s="12" t="n"/>
      <c r="I8" s="13" t="n"/>
    </row>
    <row r="9">
      <c r="A9" s="14" t="n">
        <v>8</v>
      </c>
      <c r="B9" s="15" t="inlineStr">
        <is>
          <t>첨부</t>
        </is>
      </c>
      <c r="C9" s="15" t="inlineStr">
        <is>
          <t>수정사항 자료 첨부</t>
        </is>
      </c>
      <c r="D9" s="15" t="inlineStr">
        <is>
          <t>최종검수중 건, 첨부 파일 준비</t>
        </is>
      </c>
      <c r="E9" s="15" t="inlineStr">
        <is>
          <t>사유 입력 후 [수정사항 자료]에 파일 선택 → 반려 또는 수정필요 제출</t>
        </is>
      </c>
      <c r="F9" s="15" t="inlineStr">
        <is>
          <t>이력에 첨부가 남는다</t>
        </is>
      </c>
      <c r="G9" s="11" t="n"/>
      <c r="H9" s="12" t="n"/>
      <c r="I9" s="13" t="n"/>
    </row>
    <row r="10">
      <c r="A10" s="9" t="n">
        <v>9</v>
      </c>
      <c r="B10" s="10" t="inlineStr">
        <is>
          <t>첨부</t>
        </is>
      </c>
      <c r="C10" s="10" t="inlineStr">
        <is>
          <t>첨부 공유 확인</t>
        </is>
      </c>
      <c r="D10" s="10" t="inlineStr">
        <is>
          <t>위 항목 수행 직후</t>
        </is>
      </c>
      <c r="E10" s="10" t="inlineStr">
        <is>
          <t>박현경(isis9) 또는 최효진(guychj) 계정으로 해당 건 이력에서 첨부 다운로드</t>
        </is>
      </c>
      <c r="F10" s="10" t="inlineStr">
        <is>
          <t>올린 파일을 다른 담당자가 그대로 내려받을 수 있다</t>
        </is>
      </c>
      <c r="G10" s="11" t="n"/>
      <c r="H10" s="12" t="n"/>
      <c r="I10" s="13" t="n"/>
    </row>
    <row r="11">
      <c r="A11" s="14" t="n">
        <v>10</v>
      </c>
      <c r="B11" s="15" t="inlineStr">
        <is>
          <t>알림</t>
        </is>
      </c>
      <c r="C11" s="15" t="inlineStr">
        <is>
          <t>검수 생략 통보 수신</t>
        </is>
      </c>
      <c r="D11" s="15" t="inlineStr">
        <is>
          <t>브랜드기획팀이 검수 생략 완료를 수행</t>
        </is>
      </c>
      <c r="E11" s="15" t="inlineStr">
        <is>
          <t>알림함 확인</t>
        </is>
      </c>
      <c r="F11" s="15" t="inlineStr">
        <is>
          <t>연구소 검수 없이 완료되었다는 알림과 사유가 도착해 있다</t>
        </is>
      </c>
      <c r="G11" s="11" t="n"/>
      <c r="H11" s="12" t="n"/>
      <c r="I11" s="13" t="n"/>
    </row>
    <row r="12">
      <c r="A12" s="9" t="n">
        <v>11</v>
      </c>
      <c r="B12" s="10" t="inlineStr">
        <is>
          <t>권한</t>
        </is>
      </c>
      <c r="C12" s="10" t="inlineStr">
        <is>
          <t>전달·완료 버튼 미노출</t>
        </is>
      </c>
      <c r="D12" s="10" t="inlineStr">
        <is>
          <t>전달대기 건</t>
        </is>
      </c>
      <c r="E12" s="10" t="inlineStr">
        <is>
          <t>전달대기 건 상세 확인</t>
        </is>
      </c>
      <c r="F12" s="10" t="inlineStr">
        <is>
          <t>전달·완료 처리는 브랜드기획팀 권한이므로 이 계정에는 보이지 않는다</t>
        </is>
      </c>
      <c r="G12" s="11" t="n"/>
      <c r="H12" s="12" t="n"/>
      <c r="I12" s="13" t="n"/>
    </row>
    <row r="14">
      <c r="B14" s="16" t="inlineStr">
        <is>
          <t>※ 조현종 소장(hjcho) 계정으로 수행합니다. 최종검수중 건이 없으면 브랜드기획팀에 검수요청을 먼저 요청하세요.</t>
        </is>
      </c>
    </row>
    <row r="15"/>
  </sheetData>
  <autoFilter ref="A1:I12"/>
  <mergeCells count="1">
    <mergeCell ref="B14:F15"/>
  </mergeCells>
  <dataValidations count="1">
    <dataValidation sqref="G2 G3 G4 G5 G6 G7 G8 G9 G10 G11 G12" showDropDown="0" showInputMessage="0" showErrorMessage="0" allowBlank="1" promptTitle="검수 결과" prompt="정상 / 실패 / 부분 / 해당없음 중에서 고르세요" type="list">
      <formula1>"정상,실패,부분,해당없음"</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0" customWidth="1" min="3" max="3"/>
    <col width="22" customWidth="1" min="4" max="4"/>
    <col width="46" customWidth="1" min="5" max="5"/>
    <col width="46" customWidth="1" min="6" max="6"/>
    <col width="10" customWidth="1" min="7" max="7"/>
    <col width="30" customWidth="1" min="8" max="8"/>
    <col width="12" customWidth="1" min="9" max="9"/>
  </cols>
  <sheetData>
    <row r="1" ht="30" customHeight="1">
      <c r="A1" s="5" t="inlineStr">
        <is>
          <t>No</t>
        </is>
      </c>
      <c r="B1" s="5" t="inlineStr">
        <is>
          <t>화면 / 구분</t>
        </is>
      </c>
      <c r="C1" s="5" t="inlineStr">
        <is>
          <t>테스트 항목</t>
        </is>
      </c>
      <c r="D1" s="5" t="inlineStr">
        <is>
          <t>사전 조건</t>
        </is>
      </c>
      <c r="E1" s="5" t="inlineStr">
        <is>
          <t>수행 절차</t>
        </is>
      </c>
      <c r="F1" s="5" t="inlineStr">
        <is>
          <t>기대 결과</t>
        </is>
      </c>
      <c r="G1" s="5" t="inlineStr">
        <is>
          <t>결과</t>
        </is>
      </c>
      <c r="H1" s="5" t="inlineStr">
        <is>
          <t>실제 현상 · 의견</t>
        </is>
      </c>
      <c r="I1" s="5" t="inlineStr">
        <is>
          <t>확인일</t>
        </is>
      </c>
    </row>
    <row r="2">
      <c r="A2" s="9" t="n">
        <v>1</v>
      </c>
      <c r="B2" s="10" t="inlineStr">
        <is>
          <t>관리자 메뉴</t>
        </is>
      </c>
      <c r="C2" s="10" t="inlineStr">
        <is>
          <t>메뉴 노출</t>
        </is>
      </c>
      <c r="D2" s="10" t="inlineStr">
        <is>
          <t>nousbo 계정으로 로그인</t>
        </is>
      </c>
      <c r="E2" s="10" t="inlineStr">
        <is>
          <t>상단 메뉴 확인</t>
        </is>
      </c>
      <c r="F2" s="10" t="inlineStr">
        <is>
          <t>품목 마스터 일괄 등록 · 테스트 데이터 초기화 · 데모 데이터 시드가 추가로 보인다</t>
        </is>
      </c>
      <c r="G2" s="11" t="n"/>
      <c r="H2" s="12" t="n"/>
      <c r="I2" s="13" t="n"/>
    </row>
    <row r="3">
      <c r="A3" s="14" t="n">
        <v>2</v>
      </c>
      <c r="B3" s="15" t="inlineStr">
        <is>
          <t>품목 관리</t>
        </is>
      </c>
      <c r="C3" s="15" t="inlineStr">
        <is>
          <t>품목 마스터 일괄 등록</t>
        </is>
      </c>
      <c r="D3" s="15" t="inlineStr">
        <is>
          <t>품목 엑셀 파일 준비</t>
        </is>
      </c>
      <c r="E3" s="15" t="inlineStr">
        <is>
          <t>[품목 마스터 일괄 등록]에서 파일 업로드</t>
        </is>
      </c>
      <c r="F3" s="15" t="inlineStr">
        <is>
          <t>품목이 등록·갱신되고 처리 결과 건수가 안내된다</t>
        </is>
      </c>
      <c r="G3" s="11" t="n"/>
      <c r="H3" s="12" t="n"/>
      <c r="I3" s="13" t="n"/>
    </row>
    <row r="4">
      <c r="A4" s="9" t="n">
        <v>3</v>
      </c>
      <c r="B4" s="10" t="inlineStr">
        <is>
          <t>데모 데이터</t>
        </is>
      </c>
      <c r="C4" s="10" t="inlineStr">
        <is>
          <t>데모 데이터 시드</t>
        </is>
      </c>
      <c r="D4" s="10" t="inlineStr">
        <is>
          <t>-</t>
        </is>
      </c>
      <c r="E4" s="10" t="inlineStr">
        <is>
          <t>[데모 데이터 시드] 실행</t>
        </is>
      </c>
      <c r="F4" s="10" t="inlineStr">
        <is>
          <t>데모 계정과 샘플 품목이 생성된다 (기존 데이터는 유지)</t>
        </is>
      </c>
      <c r="G4" s="11" t="n"/>
      <c r="H4" s="12" t="n"/>
      <c r="I4" s="13" t="n"/>
    </row>
    <row r="5">
      <c r="A5" s="14" t="n">
        <v>4</v>
      </c>
      <c r="B5" s="15" t="inlineStr">
        <is>
          <t>데이터 초기화</t>
        </is>
      </c>
      <c r="C5" s="15" t="inlineStr">
        <is>
          <t>테스트 데이터 초기화</t>
        </is>
      </c>
      <c r="D5" s="15" t="inlineStr">
        <is>
          <t>⚠ 실제 데이터가 지워짐 — 테스트 종료 후에만</t>
        </is>
      </c>
      <c r="E5" s="15" t="inlineStr">
        <is>
          <t>[테스트 데이터 초기화] 실행</t>
        </is>
      </c>
      <c r="F5" s="15" t="inlineStr">
        <is>
          <t>발주 건·이력·알림·품목·파일이 초기화되고 계정은 유지된다</t>
        </is>
      </c>
      <c r="G5" s="11" t="n"/>
      <c r="H5" s="12" t="n"/>
      <c r="I5" s="13" t="n"/>
    </row>
    <row r="6">
      <c r="A6" s="9" t="n">
        <v>5</v>
      </c>
      <c r="B6" s="10" t="inlineStr">
        <is>
          <t>AI 비서</t>
        </is>
      </c>
      <c r="C6" s="10" t="inlineStr">
        <is>
          <t>연결 진단 화면</t>
        </is>
      </c>
      <c r="D6" s="10" t="inlineStr">
        <is>
          <t>nousbo 계정</t>
        </is>
      </c>
      <c r="E6" s="10" t="inlineStr">
        <is>
          <t>AI 비서 화면 하단 [연결 진단] 클릭</t>
        </is>
      </c>
      <c r="F6" s="10" t="inlineStr">
        <is>
          <t>API 키 설정 여부, 설정된 모델, 사용 가능한 모델 목록이 표시된다</t>
        </is>
      </c>
      <c r="G6" s="11" t="n"/>
      <c r="H6" s="12" t="n"/>
      <c r="I6" s="13" t="n"/>
    </row>
    <row r="7">
      <c r="A7" s="14" t="n">
        <v>6</v>
      </c>
      <c r="B7" s="15" t="inlineStr">
        <is>
          <t>AI 비서</t>
        </is>
      </c>
      <c r="C7" s="15" t="inlineStr">
        <is>
          <t>실제 호출 테스트</t>
        </is>
      </c>
      <c r="D7" s="15" t="inlineStr">
        <is>
          <t>연결 진단 화면</t>
        </is>
      </c>
      <c r="E7" s="15" t="inlineStr">
        <is>
          <t>[지금 테스트 호출하기] 클릭</t>
        </is>
      </c>
      <c r="F7" s="15" t="inlineStr">
        <is>
          <t>성공 시 답변이, 실패 시 원인(사용량 초과·키·모델명)이 구체적으로 표시된다</t>
        </is>
      </c>
      <c r="G7" s="11" t="n"/>
      <c r="H7" s="12" t="n"/>
      <c r="I7" s="13" t="n"/>
    </row>
    <row r="8">
      <c r="A8" s="9" t="n">
        <v>7</v>
      </c>
      <c r="B8" s="10" t="inlineStr">
        <is>
          <t>관리 도구</t>
        </is>
      </c>
      <c r="C8" s="10" t="inlineStr">
        <is>
          <t>Django 관리자</t>
        </is>
      </c>
      <c r="D8" s="10" t="inlineStr">
        <is>
          <t>nousbo 계정</t>
        </is>
      </c>
      <c r="E8" s="10" t="inlineStr">
        <is>
          <t>/admin/ 접속</t>
        </is>
      </c>
      <c r="F8" s="10" t="inlineStr">
        <is>
          <t>담당자 프로필(이메일·휴대폰번호·부재중·대체자)을 조회·수정할 수 있다</t>
        </is>
      </c>
      <c r="G8" s="11" t="n"/>
      <c r="H8" s="12" t="n"/>
      <c r="I8" s="13" t="n"/>
    </row>
    <row r="10">
      <c r="B10" s="16" t="inlineStr">
        <is>
          <t>※ 허동혁 매니저(nousbo) 계정으로 수행합니다. 데이터 초기화는 테스트가 모두 끝난 뒤에 실행하세요.</t>
        </is>
      </c>
    </row>
    <row r="11"/>
  </sheetData>
  <autoFilter ref="A1:I8"/>
  <mergeCells count="1">
    <mergeCell ref="B10:F11"/>
  </mergeCells>
  <dataValidations count="1">
    <dataValidation sqref="G2 G3 G4 G5 G6 G7 G8" showDropDown="0" showInputMessage="0" showErrorMessage="0" allowBlank="1" promptTitle="검수 결과" prompt="정상 / 실패 / 부분 / 해당없음 중에서 고르세요" type="list">
      <formula1>"정상,실패,부분,해당없음"</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0" customWidth="1" min="3" max="3"/>
    <col width="22" customWidth="1" min="4" max="4"/>
    <col width="46" customWidth="1" min="5" max="5"/>
    <col width="46" customWidth="1" min="6" max="6"/>
    <col width="10" customWidth="1" min="7" max="7"/>
    <col width="30" customWidth="1" min="8" max="8"/>
    <col width="12" customWidth="1" min="9" max="9"/>
  </cols>
  <sheetData>
    <row r="1" ht="30" customHeight="1">
      <c r="A1" s="5" t="inlineStr">
        <is>
          <t>No</t>
        </is>
      </c>
      <c r="B1" s="5" t="inlineStr">
        <is>
          <t>화면 / 구분</t>
        </is>
      </c>
      <c r="C1" s="5" t="inlineStr">
        <is>
          <t>테스트 항목</t>
        </is>
      </c>
      <c r="D1" s="5" t="inlineStr">
        <is>
          <t>사전 조건</t>
        </is>
      </c>
      <c r="E1" s="5" t="inlineStr">
        <is>
          <t>수행 절차</t>
        </is>
      </c>
      <c r="F1" s="5" t="inlineStr">
        <is>
          <t>기대 결과</t>
        </is>
      </c>
      <c r="G1" s="5" t="inlineStr">
        <is>
          <t>결과</t>
        </is>
      </c>
      <c r="H1" s="5" t="inlineStr">
        <is>
          <t>실제 현상 · 의견</t>
        </is>
      </c>
      <c r="I1" s="5" t="inlineStr">
        <is>
          <t>확인일</t>
        </is>
      </c>
    </row>
    <row r="2">
      <c r="A2" s="9" t="n">
        <v>1</v>
      </c>
      <c r="B2" s="10" t="inlineStr">
        <is>
          <t>S1 정상 흐름</t>
        </is>
      </c>
      <c r="C2" s="10" t="inlineStr">
        <is>
          <t>등록 → 완료까지 한 바퀴</t>
        </is>
      </c>
      <c r="D2" s="10" t="inlineStr">
        <is>
          <t>진행중인 건이 없는 품목</t>
        </is>
      </c>
      <c r="E2" s="10" t="inlineStr">
        <is>
          <t>① haon 등록 → ② isis9 최종 검수요청 → ③ hjcho 승인 → ④ isis9 전달·완료</t>
        </is>
      </c>
      <c r="F2" s="10" t="inlineStr">
        <is>
          <t>각 단계마다 다음 담당자에게 알림이 가고, 최종 상태가 완료가 된다</t>
        </is>
      </c>
      <c r="G2" s="11" t="n"/>
      <c r="H2" s="12" t="n"/>
      <c r="I2" s="13" t="n"/>
    </row>
    <row r="3">
      <c r="A3" s="14" t="n">
        <v>2</v>
      </c>
      <c r="B3" s="15" t="inlineStr">
        <is>
          <t>S2 디자인 루프</t>
        </is>
      </c>
      <c r="C3" s="15" t="inlineStr">
        <is>
          <t>수정 요청 후 재검토</t>
        </is>
      </c>
      <c r="D3" s="15" t="inlineStr">
        <is>
          <t>S1과 다른 품목</t>
        </is>
      </c>
      <c r="E3" s="15" t="inlineStr">
        <is>
          <t>① haon 등록 → ② isis9 디자인 수정요청 → ③ guychj 파일 업로드 → ④ isis9 최종 검수요청 → ⑤ hjcho 승인 → ⑥ isis9 전달·완료</t>
        </is>
      </c>
      <c r="F3" s="15" t="inlineStr">
        <is>
          <t>파일 버전이 v2로 올라가고, 진행 흐름의 [디자인수정] 단계가 완료로 채워진다</t>
        </is>
      </c>
      <c r="G3" s="11" t="n"/>
      <c r="H3" s="12" t="n"/>
      <c r="I3" s="13" t="n"/>
    </row>
    <row r="4">
      <c r="A4" s="9" t="n">
        <v>3</v>
      </c>
      <c r="B4" s="10" t="inlineStr">
        <is>
          <t>S3 연구소 반려</t>
        </is>
      </c>
      <c r="C4" s="10" t="inlineStr">
        <is>
          <t>반려 후 되돌아오기</t>
        </is>
      </c>
      <c r="D4" s="10" t="inlineStr">
        <is>
          <t>최종검수중 건</t>
        </is>
      </c>
      <c r="E4" s="10" t="inlineStr">
        <is>
          <t>① hjcho 사유+자료 첨부해 반려 → ② isis9 이력에서 첨부 확인 → ③ 디자인 수정요청 → ④ guychj 재업로드</t>
        </is>
      </c>
      <c r="F4" s="10" t="inlineStr">
        <is>
          <t>상태가 1차검토중으로 돌아오고, 반려 사유와 첨부가 이력에 남아 후속 담당자가 바로 확인한다</t>
        </is>
      </c>
      <c r="G4" s="11" t="n"/>
      <c r="H4" s="12" t="n"/>
      <c r="I4" s="13" t="n"/>
    </row>
    <row r="5">
      <c r="A5" s="14" t="n">
        <v>4</v>
      </c>
      <c r="B5" s="15" t="inlineStr">
        <is>
          <t>S4 검수 생략</t>
        </is>
      </c>
      <c r="C5" s="15" t="inlineStr">
        <is>
          <t>연구소 없이 완료</t>
        </is>
      </c>
      <c r="D5" s="15" t="inlineStr">
        <is>
          <t>1차검토중 건</t>
        </is>
      </c>
      <c r="E5" s="15" t="inlineStr">
        <is>
          <t>① isis9 [연구소 검수 생략하고 완료 처리]에 사유 입력 후 완료 → ② hjcho 알림 확인</t>
        </is>
      </c>
      <c r="F5" s="15" t="inlineStr">
        <is>
          <t>완료 처리되고 파일이 최종 승인본이 되며, 연구소에도 통보된다</t>
        </is>
      </c>
      <c r="G5" s="11" t="n"/>
      <c r="H5" s="12" t="n"/>
      <c r="I5" s="13" t="n"/>
    </row>
    <row r="6">
      <c r="A6" s="9" t="n">
        <v>5</v>
      </c>
      <c r="B6" s="10" t="inlineStr">
        <is>
          <t>S5 취소</t>
        </is>
      </c>
      <c r="C6" s="10" t="inlineStr">
        <is>
          <t>요청자 취소 / 창구 반려</t>
        </is>
      </c>
      <c r="D6" s="10" t="inlineStr">
        <is>
          <t>진행중인 건 2건</t>
        </is>
      </c>
      <c r="E6" s="10" t="inlineStr">
        <is>
          <t>① haon 본인 건 취소(사유) → ② isis9 다른 1차검토중 건 요청 취소(사유)</t>
        </is>
      </c>
      <c r="F6" s="10" t="inlineStr">
        <is>
          <t>두 건 모두 취소됨으로 종료되고 [완료·취소 이력]에서 검색된다</t>
        </is>
      </c>
      <c r="G6" s="11" t="n"/>
      <c r="H6" s="12" t="n"/>
      <c r="I6" s="13" t="n"/>
    </row>
    <row r="7">
      <c r="A7" s="14" t="n">
        <v>6</v>
      </c>
      <c r="B7" s="15" t="inlineStr">
        <is>
          <t>S6 부재중 대체</t>
        </is>
      </c>
      <c r="C7" s="15" t="inlineStr">
        <is>
          <t>대체 담당자 처리</t>
        </is>
      </c>
      <c r="D7" s="15" t="inlineStr">
        <is>
          <t>-</t>
        </is>
      </c>
      <c r="E7" s="15" t="inlineStr">
        <is>
          <t>① isis9 부재중 설정 → ② haon 새 건 등록 → ③ shindeok_kim 로그인해 처리</t>
        </is>
      </c>
      <c r="F7" s="15" t="inlineStr">
        <is>
          <t>대체 담당자 대시보드에 건이 뜨고 알림도 함께 수신되며, 대신 처리할 수 있다</t>
        </is>
      </c>
      <c r="G7" s="11" t="n"/>
      <c r="H7" s="12" t="n"/>
      <c r="I7" s="13" t="n"/>
    </row>
    <row r="8">
      <c r="A8" s="9" t="n">
        <v>7</v>
      </c>
      <c r="B8" s="10" t="inlineStr">
        <is>
          <t>S7 일괄 이관</t>
        </is>
      </c>
      <c r="C8" s="10" t="inlineStr">
        <is>
          <t>기존 파일 일괄 등록</t>
        </is>
      </c>
      <c r="D8" s="10" t="inlineStr">
        <is>
          <t>AI+이미지 쌍 파일 준비</t>
        </is>
      </c>
      <c r="E8" s="10" t="inlineStr">
        <is>
          <t>① isis9 일괄 업로드(품목·승인자·승인일·사유 입력) → ② 완료·취소 이력에서 확인 → ③ 일괄 다운로드</t>
        </is>
      </c>
      <c r="F8" s="10" t="inlineStr">
        <is>
          <t>완료 상태 건이 자동 생성되어 이력에 나타나고, zip으로 다시 내려받을 수 있다</t>
        </is>
      </c>
      <c r="G8" s="11" t="n"/>
      <c r="H8" s="12" t="n"/>
      <c r="I8" s="13" t="n"/>
    </row>
    <row r="10">
      <c r="B10" s="16" t="inlineStr">
        <is>
          <t>※ 여러 계정을 번갈아 로그인하며 실제 업무 흐름 그대로 처음부터 끝까지 수행하는 항목입니다.</t>
        </is>
      </c>
    </row>
    <row r="11"/>
  </sheetData>
  <autoFilter ref="A1:I8"/>
  <mergeCells count="1">
    <mergeCell ref="B10:F11"/>
  </mergeCells>
  <dataValidations count="1">
    <dataValidation sqref="G2 G3 G4 G5 G6 G7 G8" showDropDown="0" showInputMessage="0" showErrorMessage="0" allowBlank="1" promptTitle="검수 결과" prompt="정상 / 실패 / 부분 / 해당없음 중에서 고르세요" type="list">
      <formula1>"정상,실패,부분,해당없음"</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2" customWidth="1" min="3" max="3"/>
    <col width="20" customWidth="1" min="4" max="4"/>
    <col width="46" customWidth="1" min="5" max="5"/>
    <col width="30" customWidth="1" min="6" max="6"/>
    <col width="30" customWidth="1" min="7" max="7"/>
    <col width="10" customWidth="1" min="8" max="8"/>
    <col width="12" customWidth="1" min="9" max="9"/>
    <col width="24" customWidth="1" min="10" max="10"/>
  </cols>
  <sheetData>
    <row r="1" ht="30" customHeight="1">
      <c r="A1" s="5" t="inlineStr">
        <is>
          <t>No</t>
        </is>
      </c>
      <c r="B1" s="5" t="inlineStr">
        <is>
          <t>발견일</t>
        </is>
      </c>
      <c r="C1" s="5" t="inlineStr">
        <is>
          <t>발견자</t>
        </is>
      </c>
      <c r="D1" s="5" t="inlineStr">
        <is>
          <t>화면 / 기능</t>
        </is>
      </c>
      <c r="E1" s="5" t="inlineStr">
        <is>
          <t>어떻게 하면 다시 나타나는지 (재현 절차)</t>
        </is>
      </c>
      <c r="F1" s="5" t="inlineStr">
        <is>
          <t>기대한 동작</t>
        </is>
      </c>
      <c r="G1" s="5" t="inlineStr">
        <is>
          <t>실제 동작</t>
        </is>
      </c>
      <c r="H1" s="5" t="inlineStr">
        <is>
          <t>심각도</t>
        </is>
      </c>
      <c r="I1" s="5" t="inlineStr">
        <is>
          <t>처리 상태</t>
        </is>
      </c>
      <c r="J1" s="5" t="inlineStr">
        <is>
          <t>비고</t>
        </is>
      </c>
    </row>
    <row r="2">
      <c r="A2" s="17" t="n">
        <v>1</v>
      </c>
      <c r="B2" s="18" t="n"/>
      <c r="C2" s="19" t="inlineStr">
        <is>
          <t>(예시) 이정인</t>
        </is>
      </c>
      <c r="D2" s="19" t="inlineStr">
        <is>
          <t>발주요청 등록</t>
        </is>
      </c>
      <c r="E2" s="19" t="inlineStr">
        <is>
          <t>요청사항을 비운 채 [요청 등록]을 누름</t>
        </is>
      </c>
      <c r="F2" s="19" t="inlineStr">
        <is>
          <t>사유 입력 안내가 떠야 함</t>
        </is>
      </c>
      <c r="G2" s="19" t="inlineStr">
        <is>
          <t>아무 반응 없이 등록됨</t>
        </is>
      </c>
      <c r="H2" s="17" t="inlineStr">
        <is>
          <t>높음</t>
        </is>
      </c>
      <c r="I2" s="17" t="inlineStr">
        <is>
          <t>접수</t>
        </is>
      </c>
      <c r="J2" s="19" t="inlineStr">
        <is>
          <t>2026-08-27 확인</t>
        </is>
      </c>
    </row>
    <row r="3">
      <c r="A3" s="14" t="n">
        <v>2</v>
      </c>
      <c r="B3" s="13" t="n"/>
      <c r="C3" s="12" t="n"/>
      <c r="D3" s="12" t="n"/>
      <c r="E3" s="12" t="n"/>
      <c r="F3" s="12" t="n"/>
      <c r="G3" s="12" t="n"/>
      <c r="H3" s="11" t="n"/>
      <c r="I3" s="11" t="n"/>
      <c r="J3" s="12" t="n"/>
    </row>
    <row r="4">
      <c r="A4" s="14" t="n">
        <v>3</v>
      </c>
      <c r="B4" s="13" t="n"/>
      <c r="C4" s="12" t="n"/>
      <c r="D4" s="12" t="n"/>
      <c r="E4" s="12" t="n"/>
      <c r="F4" s="12" t="n"/>
      <c r="G4" s="12" t="n"/>
      <c r="H4" s="11" t="n"/>
      <c r="I4" s="11" t="n"/>
      <c r="J4" s="12" t="n"/>
    </row>
    <row r="5">
      <c r="A5" s="14" t="n">
        <v>4</v>
      </c>
      <c r="B5" s="13" t="n"/>
      <c r="C5" s="12" t="n"/>
      <c r="D5" s="12" t="n"/>
      <c r="E5" s="12" t="n"/>
      <c r="F5" s="12" t="n"/>
      <c r="G5" s="12" t="n"/>
      <c r="H5" s="11" t="n"/>
      <c r="I5" s="11" t="n"/>
      <c r="J5" s="12" t="n"/>
    </row>
    <row r="6">
      <c r="A6" s="14" t="n">
        <v>5</v>
      </c>
      <c r="B6" s="13" t="n"/>
      <c r="C6" s="12" t="n"/>
      <c r="D6" s="12" t="n"/>
      <c r="E6" s="12" t="n"/>
      <c r="F6" s="12" t="n"/>
      <c r="G6" s="12" t="n"/>
      <c r="H6" s="11" t="n"/>
      <c r="I6" s="11" t="n"/>
      <c r="J6" s="12" t="n"/>
    </row>
    <row r="7">
      <c r="A7" s="14" t="n">
        <v>6</v>
      </c>
      <c r="B7" s="13" t="n"/>
      <c r="C7" s="12" t="n"/>
      <c r="D7" s="12" t="n"/>
      <c r="E7" s="12" t="n"/>
      <c r="F7" s="12" t="n"/>
      <c r="G7" s="12" t="n"/>
      <c r="H7" s="11" t="n"/>
      <c r="I7" s="11" t="n"/>
      <c r="J7" s="12" t="n"/>
    </row>
    <row r="8">
      <c r="A8" s="14" t="n">
        <v>7</v>
      </c>
      <c r="B8" s="13" t="n"/>
      <c r="C8" s="12" t="n"/>
      <c r="D8" s="12" t="n"/>
      <c r="E8" s="12" t="n"/>
      <c r="F8" s="12" t="n"/>
      <c r="G8" s="12" t="n"/>
      <c r="H8" s="11" t="n"/>
      <c r="I8" s="11" t="n"/>
      <c r="J8" s="12" t="n"/>
    </row>
    <row r="9">
      <c r="A9" s="14" t="n">
        <v>8</v>
      </c>
      <c r="B9" s="13" t="n"/>
      <c r="C9" s="12" t="n"/>
      <c r="D9" s="12" t="n"/>
      <c r="E9" s="12" t="n"/>
      <c r="F9" s="12" t="n"/>
      <c r="G9" s="12" t="n"/>
      <c r="H9" s="11" t="n"/>
      <c r="I9" s="11" t="n"/>
      <c r="J9" s="12" t="n"/>
    </row>
    <row r="10">
      <c r="A10" s="14" t="n">
        <v>9</v>
      </c>
      <c r="B10" s="13" t="n"/>
      <c r="C10" s="12" t="n"/>
      <c r="D10" s="12" t="n"/>
      <c r="E10" s="12" t="n"/>
      <c r="F10" s="12" t="n"/>
      <c r="G10" s="12" t="n"/>
      <c r="H10" s="11" t="n"/>
      <c r="I10" s="11" t="n"/>
      <c r="J10" s="12" t="n"/>
    </row>
    <row r="11">
      <c r="A11" s="14" t="n">
        <v>10</v>
      </c>
      <c r="B11" s="13" t="n"/>
      <c r="C11" s="12" t="n"/>
      <c r="D11" s="12" t="n"/>
      <c r="E11" s="12" t="n"/>
      <c r="F11" s="12" t="n"/>
      <c r="G11" s="12" t="n"/>
      <c r="H11" s="11" t="n"/>
      <c r="I11" s="11" t="n"/>
      <c r="J11" s="12" t="n"/>
    </row>
    <row r="12">
      <c r="A12" s="14" t="n">
        <v>11</v>
      </c>
      <c r="B12" s="13" t="n"/>
      <c r="C12" s="12" t="n"/>
      <c r="D12" s="12" t="n"/>
      <c r="E12" s="12" t="n"/>
      <c r="F12" s="12" t="n"/>
      <c r="G12" s="12" t="n"/>
      <c r="H12" s="11" t="n"/>
      <c r="I12" s="11" t="n"/>
      <c r="J12" s="12" t="n"/>
    </row>
    <row r="13">
      <c r="A13" s="14" t="n">
        <v>12</v>
      </c>
      <c r="B13" s="13" t="n"/>
      <c r="C13" s="12" t="n"/>
      <c r="D13" s="12" t="n"/>
      <c r="E13" s="12" t="n"/>
      <c r="F13" s="12" t="n"/>
      <c r="G13" s="12" t="n"/>
      <c r="H13" s="11" t="n"/>
      <c r="I13" s="11" t="n"/>
      <c r="J13" s="12" t="n"/>
    </row>
    <row r="14">
      <c r="A14" s="14" t="n">
        <v>13</v>
      </c>
      <c r="B14" s="13" t="n"/>
      <c r="C14" s="12" t="n"/>
      <c r="D14" s="12" t="n"/>
      <c r="E14" s="12" t="n"/>
      <c r="F14" s="12" t="n"/>
      <c r="G14" s="12" t="n"/>
      <c r="H14" s="11" t="n"/>
      <c r="I14" s="11" t="n"/>
      <c r="J14" s="12" t="n"/>
    </row>
    <row r="15">
      <c r="A15" s="14" t="n">
        <v>14</v>
      </c>
      <c r="B15" s="13" t="n"/>
      <c r="C15" s="12" t="n"/>
      <c r="D15" s="12" t="n"/>
      <c r="E15" s="12" t="n"/>
      <c r="F15" s="12" t="n"/>
      <c r="G15" s="12" t="n"/>
      <c r="H15" s="11" t="n"/>
      <c r="I15" s="11" t="n"/>
      <c r="J15" s="12" t="n"/>
    </row>
    <row r="16">
      <c r="A16" s="14" t="n">
        <v>15</v>
      </c>
      <c r="B16" s="13" t="n"/>
      <c r="C16" s="12" t="n"/>
      <c r="D16" s="12" t="n"/>
      <c r="E16" s="12" t="n"/>
      <c r="F16" s="12" t="n"/>
      <c r="G16" s="12" t="n"/>
      <c r="H16" s="11" t="n"/>
      <c r="I16" s="11" t="n"/>
      <c r="J16" s="12" t="n"/>
    </row>
    <row r="17">
      <c r="A17" s="14" t="n">
        <v>16</v>
      </c>
      <c r="B17" s="13" t="n"/>
      <c r="C17" s="12" t="n"/>
      <c r="D17" s="12" t="n"/>
      <c r="E17" s="12" t="n"/>
      <c r="F17" s="12" t="n"/>
      <c r="G17" s="12" t="n"/>
      <c r="H17" s="11" t="n"/>
      <c r="I17" s="11" t="n"/>
      <c r="J17" s="12" t="n"/>
    </row>
    <row r="18">
      <c r="A18" s="14" t="n">
        <v>17</v>
      </c>
      <c r="B18" s="13" t="n"/>
      <c r="C18" s="12" t="n"/>
      <c r="D18" s="12" t="n"/>
      <c r="E18" s="12" t="n"/>
      <c r="F18" s="12" t="n"/>
      <c r="G18" s="12" t="n"/>
      <c r="H18" s="11" t="n"/>
      <c r="I18" s="11" t="n"/>
      <c r="J18" s="12" t="n"/>
    </row>
    <row r="19">
      <c r="A19" s="14" t="n">
        <v>18</v>
      </c>
      <c r="B19" s="13" t="n"/>
      <c r="C19" s="12" t="n"/>
      <c r="D19" s="12" t="n"/>
      <c r="E19" s="12" t="n"/>
      <c r="F19" s="12" t="n"/>
      <c r="G19" s="12" t="n"/>
      <c r="H19" s="11" t="n"/>
      <c r="I19" s="11" t="n"/>
      <c r="J19" s="12" t="n"/>
    </row>
    <row r="20">
      <c r="A20" s="14" t="n">
        <v>19</v>
      </c>
      <c r="B20" s="13" t="n"/>
      <c r="C20" s="12" t="n"/>
      <c r="D20" s="12" t="n"/>
      <c r="E20" s="12" t="n"/>
      <c r="F20" s="12" t="n"/>
      <c r="G20" s="12" t="n"/>
      <c r="H20" s="11" t="n"/>
      <c r="I20" s="11" t="n"/>
      <c r="J20" s="12" t="n"/>
    </row>
    <row r="21">
      <c r="A21" s="14" t="n">
        <v>20</v>
      </c>
      <c r="B21" s="13" t="n"/>
      <c r="C21" s="12" t="n"/>
      <c r="D21" s="12" t="n"/>
      <c r="E21" s="12" t="n"/>
      <c r="F21" s="12" t="n"/>
      <c r="G21" s="12" t="n"/>
      <c r="H21" s="11" t="n"/>
      <c r="I21" s="11" t="n"/>
      <c r="J21" s="12" t="n"/>
    </row>
    <row r="22">
      <c r="A22" s="14" t="n">
        <v>21</v>
      </c>
      <c r="B22" s="13" t="n"/>
      <c r="C22" s="12" t="n"/>
      <c r="D22" s="12" t="n"/>
      <c r="E22" s="12" t="n"/>
      <c r="F22" s="12" t="n"/>
      <c r="G22" s="12" t="n"/>
      <c r="H22" s="11" t="n"/>
      <c r="I22" s="11" t="n"/>
      <c r="J22" s="12" t="n"/>
    </row>
    <row r="23">
      <c r="A23" s="14" t="n">
        <v>22</v>
      </c>
      <c r="B23" s="13" t="n"/>
      <c r="C23" s="12" t="n"/>
      <c r="D23" s="12" t="n"/>
      <c r="E23" s="12" t="n"/>
      <c r="F23" s="12" t="n"/>
      <c r="G23" s="12" t="n"/>
      <c r="H23" s="11" t="n"/>
      <c r="I23" s="11" t="n"/>
      <c r="J23" s="12" t="n"/>
    </row>
    <row r="24">
      <c r="A24" s="14" t="n">
        <v>23</v>
      </c>
      <c r="B24" s="13" t="n"/>
      <c r="C24" s="12" t="n"/>
      <c r="D24" s="12" t="n"/>
      <c r="E24" s="12" t="n"/>
      <c r="F24" s="12" t="n"/>
      <c r="G24" s="12" t="n"/>
      <c r="H24" s="11" t="n"/>
      <c r="I24" s="11" t="n"/>
      <c r="J24" s="12" t="n"/>
    </row>
    <row r="25">
      <c r="A25" s="14" t="n">
        <v>24</v>
      </c>
      <c r="B25" s="13" t="n"/>
      <c r="C25" s="12" t="n"/>
      <c r="D25" s="12" t="n"/>
      <c r="E25" s="12" t="n"/>
      <c r="F25" s="12" t="n"/>
      <c r="G25" s="12" t="n"/>
      <c r="H25" s="11" t="n"/>
      <c r="I25" s="11" t="n"/>
      <c r="J25" s="12" t="n"/>
    </row>
    <row r="26">
      <c r="A26" s="14" t="n">
        <v>25</v>
      </c>
      <c r="B26" s="13" t="n"/>
      <c r="C26" s="12" t="n"/>
      <c r="D26" s="12" t="n"/>
      <c r="E26" s="12" t="n"/>
      <c r="F26" s="12" t="n"/>
      <c r="G26" s="12" t="n"/>
      <c r="H26" s="11" t="n"/>
      <c r="I26" s="11" t="n"/>
      <c r="J26" s="12" t="n"/>
    </row>
    <row r="27">
      <c r="A27" s="14" t="n">
        <v>26</v>
      </c>
      <c r="B27" s="13" t="n"/>
      <c r="C27" s="12" t="n"/>
      <c r="D27" s="12" t="n"/>
      <c r="E27" s="12" t="n"/>
      <c r="F27" s="12" t="n"/>
      <c r="G27" s="12" t="n"/>
      <c r="H27" s="11" t="n"/>
      <c r="I27" s="11" t="n"/>
      <c r="J27" s="12" t="n"/>
    </row>
    <row r="28">
      <c r="A28" s="14" t="n">
        <v>27</v>
      </c>
      <c r="B28" s="13" t="n"/>
      <c r="C28" s="12" t="n"/>
      <c r="D28" s="12" t="n"/>
      <c r="E28" s="12" t="n"/>
      <c r="F28" s="12" t="n"/>
      <c r="G28" s="12" t="n"/>
      <c r="H28" s="11" t="n"/>
      <c r="I28" s="11" t="n"/>
      <c r="J28" s="12" t="n"/>
    </row>
    <row r="29">
      <c r="A29" s="14" t="n">
        <v>28</v>
      </c>
      <c r="B29" s="13" t="n"/>
      <c r="C29" s="12" t="n"/>
      <c r="D29" s="12" t="n"/>
      <c r="E29" s="12" t="n"/>
      <c r="F29" s="12" t="n"/>
      <c r="G29" s="12" t="n"/>
      <c r="H29" s="11" t="n"/>
      <c r="I29" s="11" t="n"/>
      <c r="J29" s="12" t="n"/>
    </row>
    <row r="30">
      <c r="A30" s="14" t="n">
        <v>29</v>
      </c>
      <c r="B30" s="13" t="n"/>
      <c r="C30" s="12" t="n"/>
      <c r="D30" s="12" t="n"/>
      <c r="E30" s="12" t="n"/>
      <c r="F30" s="12" t="n"/>
      <c r="G30" s="12" t="n"/>
      <c r="H30" s="11" t="n"/>
      <c r="I30" s="11" t="n"/>
      <c r="J30" s="12" t="n"/>
    </row>
    <row r="31">
      <c r="A31" s="14" t="n">
        <v>30</v>
      </c>
      <c r="B31" s="13" t="n"/>
      <c r="C31" s="12" t="n"/>
      <c r="D31" s="12" t="n"/>
      <c r="E31" s="12" t="n"/>
      <c r="F31" s="12" t="n"/>
      <c r="G31" s="12" t="n"/>
      <c r="H31" s="11" t="n"/>
      <c r="I31" s="11" t="n"/>
      <c r="J31" s="12" t="n"/>
    </row>
    <row r="32">
      <c r="A32" s="14" t="n">
        <v>31</v>
      </c>
      <c r="B32" s="13" t="n"/>
      <c r="C32" s="12" t="n"/>
      <c r="D32" s="12" t="n"/>
      <c r="E32" s="12" t="n"/>
      <c r="F32" s="12" t="n"/>
      <c r="G32" s="12" t="n"/>
      <c r="H32" s="11" t="n"/>
      <c r="I32" s="11" t="n"/>
      <c r="J32" s="12" t="n"/>
    </row>
    <row r="33">
      <c r="A33" s="14" t="n">
        <v>32</v>
      </c>
      <c r="B33" s="13" t="n"/>
      <c r="C33" s="12" t="n"/>
      <c r="D33" s="12" t="n"/>
      <c r="E33" s="12" t="n"/>
      <c r="F33" s="12" t="n"/>
      <c r="G33" s="12" t="n"/>
      <c r="H33" s="11" t="n"/>
      <c r="I33" s="11" t="n"/>
      <c r="J33" s="12" t="n"/>
    </row>
    <row r="34">
      <c r="A34" s="14" t="n">
        <v>33</v>
      </c>
      <c r="B34" s="13" t="n"/>
      <c r="C34" s="12" t="n"/>
      <c r="D34" s="12" t="n"/>
      <c r="E34" s="12" t="n"/>
      <c r="F34" s="12" t="n"/>
      <c r="G34" s="12" t="n"/>
      <c r="H34" s="11" t="n"/>
      <c r="I34" s="11" t="n"/>
      <c r="J34" s="12" t="n"/>
    </row>
    <row r="35">
      <c r="A35" s="14" t="n">
        <v>34</v>
      </c>
      <c r="B35" s="13" t="n"/>
      <c r="C35" s="12" t="n"/>
      <c r="D35" s="12" t="n"/>
      <c r="E35" s="12" t="n"/>
      <c r="F35" s="12" t="n"/>
      <c r="G35" s="12" t="n"/>
      <c r="H35" s="11" t="n"/>
      <c r="I35" s="11" t="n"/>
      <c r="J35" s="12" t="n"/>
    </row>
    <row r="36">
      <c r="A36" s="14" t="n">
        <v>35</v>
      </c>
      <c r="B36" s="13" t="n"/>
      <c r="C36" s="12" t="n"/>
      <c r="D36" s="12" t="n"/>
      <c r="E36" s="12" t="n"/>
      <c r="F36" s="12" t="n"/>
      <c r="G36" s="12" t="n"/>
      <c r="H36" s="11" t="n"/>
      <c r="I36" s="11" t="n"/>
      <c r="J36" s="12" t="n"/>
    </row>
    <row r="37">
      <c r="A37" s="14" t="n">
        <v>36</v>
      </c>
      <c r="B37" s="13" t="n"/>
      <c r="C37" s="12" t="n"/>
      <c r="D37" s="12" t="n"/>
      <c r="E37" s="12" t="n"/>
      <c r="F37" s="12" t="n"/>
      <c r="G37" s="12" t="n"/>
      <c r="H37" s="11" t="n"/>
      <c r="I37" s="11" t="n"/>
      <c r="J37" s="12" t="n"/>
    </row>
    <row r="38">
      <c r="A38" s="14" t="n">
        <v>37</v>
      </c>
      <c r="B38" s="13" t="n"/>
      <c r="C38" s="12" t="n"/>
      <c r="D38" s="12" t="n"/>
      <c r="E38" s="12" t="n"/>
      <c r="F38" s="12" t="n"/>
      <c r="G38" s="12" t="n"/>
      <c r="H38" s="11" t="n"/>
      <c r="I38" s="11" t="n"/>
      <c r="J38" s="12" t="n"/>
    </row>
    <row r="39">
      <c r="A39" s="14" t="n">
        <v>38</v>
      </c>
      <c r="B39" s="13" t="n"/>
      <c r="C39" s="12" t="n"/>
      <c r="D39" s="12" t="n"/>
      <c r="E39" s="12" t="n"/>
      <c r="F39" s="12" t="n"/>
      <c r="G39" s="12" t="n"/>
      <c r="H39" s="11" t="n"/>
      <c r="I39" s="11" t="n"/>
      <c r="J39" s="12" t="n"/>
    </row>
    <row r="40">
      <c r="A40" s="14" t="n">
        <v>39</v>
      </c>
      <c r="B40" s="13" t="n"/>
      <c r="C40" s="12" t="n"/>
      <c r="D40" s="12" t="n"/>
      <c r="E40" s="12" t="n"/>
      <c r="F40" s="12" t="n"/>
      <c r="G40" s="12" t="n"/>
      <c r="H40" s="11" t="n"/>
      <c r="I40" s="11" t="n"/>
      <c r="J40" s="12" t="n"/>
    </row>
    <row r="41">
      <c r="A41" s="14" t="n">
        <v>40</v>
      </c>
      <c r="B41" s="13" t="n"/>
      <c r="C41" s="12" t="n"/>
      <c r="D41" s="12" t="n"/>
      <c r="E41" s="12" t="n"/>
      <c r="F41" s="12" t="n"/>
      <c r="G41" s="12" t="n"/>
      <c r="H41" s="11" t="n"/>
      <c r="I41" s="11" t="n"/>
      <c r="J41" s="12" t="n"/>
    </row>
  </sheetData>
  <autoFilter ref="A1:J41"/>
  <dataValidations count="2">
    <dataValidation sqref="H2 H3 H4 H5 H6 H7 H8 H9 H10 H11 H12 H13 H14 H15 H16 H17 H18 H19 H20 H21 H22 H23 H24 H25 H26 H27 H28 H29 H30 H31 H32 H33 H34 H35 H36 H37 H38 H39 H40 H41" showDropDown="0" showInputMessage="0" showErrorMessage="0" allowBlank="1" type="list">
      <formula1>"치명,높음,보통,낮음"</formula1>
    </dataValidation>
    <dataValidation sqref="I2 I3 I4 I5 I6 I7 I8 I9 I10 I11 I12 I13 I14 I15 I16 I17 I18 I19 I20 I21 I22 I23 I24 I25 I26 I27 I28 I29 I30 I31 I32 I33 I34 I35 I36 I37 I38 I39 I40 I41" showDropDown="0" showInputMessage="0" showErrorMessage="0" allowBlank="1" type="list">
      <formula1>"접수,확인중,수정완료,재확인필요,보류"</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2" customWidth="1" min="6" max="6"/>
    <col width="12" customWidth="1" min="7" max="7"/>
    <col width="12" customWidth="1" min="8" max="8"/>
  </cols>
  <sheetData>
    <row r="1" ht="30" customHeight="1">
      <c r="A1" s="5" t="inlineStr">
        <is>
          <t>시트</t>
        </is>
      </c>
      <c r="B1" s="5" t="inlineStr">
        <is>
          <t>전체</t>
        </is>
      </c>
      <c r="C1" s="5" t="inlineStr">
        <is>
          <t>정상</t>
        </is>
      </c>
      <c r="D1" s="5" t="inlineStr">
        <is>
          <t>실패</t>
        </is>
      </c>
      <c r="E1" s="5" t="inlineStr">
        <is>
          <t>부분</t>
        </is>
      </c>
      <c r="F1" s="5" t="inlineStr">
        <is>
          <t>해당없음</t>
        </is>
      </c>
      <c r="G1" s="5" t="inlineStr">
        <is>
          <t>미확인</t>
        </is>
      </c>
      <c r="H1" s="5" t="inlineStr">
        <is>
          <t>진행률</t>
        </is>
      </c>
    </row>
    <row r="2">
      <c r="A2" s="7" t="inlineStr">
        <is>
          <t>공통</t>
        </is>
      </c>
      <c r="B2" s="20">
        <f>COUNTA('공통'!A:A)-1</f>
        <v/>
      </c>
      <c r="C2" s="20">
        <f>COUNTIF('공통'!G:G,"정상")</f>
        <v/>
      </c>
      <c r="D2" s="20">
        <f>COUNTIF('공통'!G:G,"실패")</f>
        <v/>
      </c>
      <c r="E2" s="20">
        <f>COUNTIF('공통'!G:G,"부분")</f>
        <v/>
      </c>
      <c r="F2" s="20">
        <f>COUNTIF('공통'!G:G,"해당없음")</f>
        <v/>
      </c>
      <c r="G2" s="20">
        <f>B2-C2-D2-E2-F2</f>
        <v/>
      </c>
      <c r="H2" s="21">
        <f>IFERROR((B2-G2)/B2,0)</f>
        <v/>
      </c>
    </row>
    <row r="3">
      <c r="A3" s="7" t="inlineStr">
        <is>
          <t>요청자</t>
        </is>
      </c>
      <c r="B3" s="20">
        <f>COUNTA('요청자'!A:A)-1</f>
        <v/>
      </c>
      <c r="C3" s="20">
        <f>COUNTIF('요청자'!G:G,"정상")</f>
        <v/>
      </c>
      <c r="D3" s="20">
        <f>COUNTIF('요청자'!G:G,"실패")</f>
        <v/>
      </c>
      <c r="E3" s="20">
        <f>COUNTIF('요청자'!G:G,"부분")</f>
        <v/>
      </c>
      <c r="F3" s="20">
        <f>COUNTIF('요청자'!G:G,"해당없음")</f>
        <v/>
      </c>
      <c r="G3" s="20">
        <f>B3-C3-D3-E3-F3</f>
        <v/>
      </c>
      <c r="H3" s="21">
        <f>IFERROR((B3-G3)/B3,0)</f>
        <v/>
      </c>
    </row>
    <row r="4">
      <c r="A4" s="7" t="inlineStr">
        <is>
          <t>브랜드기획팀</t>
        </is>
      </c>
      <c r="B4" s="20">
        <f>COUNTA('브랜드기획팀'!A:A)-1</f>
        <v/>
      </c>
      <c r="C4" s="20">
        <f>COUNTIF('브랜드기획팀'!G:G,"정상")</f>
        <v/>
      </c>
      <c r="D4" s="20">
        <f>COUNTIF('브랜드기획팀'!G:G,"실패")</f>
        <v/>
      </c>
      <c r="E4" s="20">
        <f>COUNTIF('브랜드기획팀'!G:G,"부분")</f>
        <v/>
      </c>
      <c r="F4" s="20">
        <f>COUNTIF('브랜드기획팀'!G:G,"해당없음")</f>
        <v/>
      </c>
      <c r="G4" s="20">
        <f>B4-C4-D4-E4-F4</f>
        <v/>
      </c>
      <c r="H4" s="21">
        <f>IFERROR((B4-G4)/B4,0)</f>
        <v/>
      </c>
    </row>
    <row r="5">
      <c r="A5" s="7" t="inlineStr">
        <is>
          <t>디자인팀</t>
        </is>
      </c>
      <c r="B5" s="20">
        <f>COUNTA('디자인팀'!A:A)-1</f>
        <v/>
      </c>
      <c r="C5" s="20">
        <f>COUNTIF('디자인팀'!G:G,"정상")</f>
        <v/>
      </c>
      <c r="D5" s="20">
        <f>COUNTIF('디자인팀'!G:G,"실패")</f>
        <v/>
      </c>
      <c r="E5" s="20">
        <f>COUNTIF('디자인팀'!G:G,"부분")</f>
        <v/>
      </c>
      <c r="F5" s="20">
        <f>COUNTIF('디자인팀'!G:G,"해당없음")</f>
        <v/>
      </c>
      <c r="G5" s="20">
        <f>B5-C5-D5-E5-F5</f>
        <v/>
      </c>
      <c r="H5" s="21">
        <f>IFERROR((B5-G5)/B5,0)</f>
        <v/>
      </c>
    </row>
    <row r="6">
      <c r="A6" s="7" t="inlineStr">
        <is>
          <t>연구소</t>
        </is>
      </c>
      <c r="B6" s="20">
        <f>COUNTA('연구소'!A:A)-1</f>
        <v/>
      </c>
      <c r="C6" s="20">
        <f>COUNTIF('연구소'!G:G,"정상")</f>
        <v/>
      </c>
      <c r="D6" s="20">
        <f>COUNTIF('연구소'!G:G,"실패")</f>
        <v/>
      </c>
      <c r="E6" s="20">
        <f>COUNTIF('연구소'!G:G,"부분")</f>
        <v/>
      </c>
      <c r="F6" s="20">
        <f>COUNTIF('연구소'!G:G,"해당없음")</f>
        <v/>
      </c>
      <c r="G6" s="20">
        <f>B6-C6-D6-E6-F6</f>
        <v/>
      </c>
      <c r="H6" s="21">
        <f>IFERROR((B6-G6)/B6,0)</f>
        <v/>
      </c>
    </row>
    <row r="7">
      <c r="A7" s="7" t="inlineStr">
        <is>
          <t>관리자</t>
        </is>
      </c>
      <c r="B7" s="20">
        <f>COUNTA('관리자'!A:A)-1</f>
        <v/>
      </c>
      <c r="C7" s="20">
        <f>COUNTIF('관리자'!G:G,"정상")</f>
        <v/>
      </c>
      <c r="D7" s="20">
        <f>COUNTIF('관리자'!G:G,"실패")</f>
        <v/>
      </c>
      <c r="E7" s="20">
        <f>COUNTIF('관리자'!G:G,"부분")</f>
        <v/>
      </c>
      <c r="F7" s="20">
        <f>COUNTIF('관리자'!G:G,"해당없음")</f>
        <v/>
      </c>
      <c r="G7" s="20">
        <f>B7-C7-D7-E7-F7</f>
        <v/>
      </c>
      <c r="H7" s="21">
        <f>IFERROR((B7-G7)/B7,0)</f>
        <v/>
      </c>
    </row>
    <row r="8">
      <c r="A8" s="7" t="inlineStr">
        <is>
          <t>통합시나리오</t>
        </is>
      </c>
      <c r="B8" s="20">
        <f>COUNTA('통합시나리오'!A:A)-1</f>
        <v/>
      </c>
      <c r="C8" s="20">
        <f>COUNTIF('통합시나리오'!G:G,"정상")</f>
        <v/>
      </c>
      <c r="D8" s="20">
        <f>COUNTIF('통합시나리오'!G:G,"실패")</f>
        <v/>
      </c>
      <c r="E8" s="20">
        <f>COUNTIF('통합시나리오'!G:G,"부분")</f>
        <v/>
      </c>
      <c r="F8" s="20">
        <f>COUNTIF('통합시나리오'!G:G,"해당없음")</f>
        <v/>
      </c>
      <c r="G8" s="20">
        <f>B8-C8-D8-E8-F8</f>
        <v/>
      </c>
      <c r="H8" s="21">
        <f>IFERROR((B8-G8)/B8,0)</f>
        <v/>
      </c>
    </row>
    <row r="9">
      <c r="A9" s="22" t="inlineStr">
        <is>
          <t>합계</t>
        </is>
      </c>
      <c r="B9" s="23">
        <f>SUM(B2:B8)</f>
        <v/>
      </c>
      <c r="C9" s="23">
        <f>SUM(C2:C8)</f>
        <v/>
      </c>
      <c r="D9" s="23">
        <f>SUM(D2:D8)</f>
        <v/>
      </c>
      <c r="E9" s="23">
        <f>SUM(E2:E8)</f>
        <v/>
      </c>
      <c r="F9" s="23">
        <f>SUM(F2:F8)</f>
        <v/>
      </c>
      <c r="G9" s="23">
        <f>SUM(G2:G8)</f>
        <v/>
      </c>
      <c r="H9" s="24">
        <f>IFERROR((B9-G9)/B9,0)</f>
        <v/>
      </c>
    </row>
    <row r="11">
      <c r="A11" s="25" t="inlineStr">
        <is>
          <t>※ 각 시트의 [결과] 칸을 채우면 이 표가 자동으로 집계됩니다. 파일을 열 때 숫자가 갱신되지 않으면 F9를 눌러주세요.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2026-08-27T05:07:13Z</dcterms:created>
  <dcterms:modified xsi:type="dcterms:W3CDTF">2026-08-27T05:07:13Z</dcterms:modified>
</cp:coreProperties>
</file>